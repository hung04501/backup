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15510" windowHeight="7545" activeTab="1"/>
  </bookViews>
  <sheets>
    <sheet name="Chart" sheetId="1" r:id="rId1"/>
    <sheet name="Daily Track" sheetId="2" r:id="rId2"/>
    <sheet name="Milestones" sheetId="3" r:id="rId3"/>
    <sheet name="Resource" sheetId="4" r:id="rId4"/>
    <sheet name="Holidays" sheetId="5" r:id="rId5"/>
  </sheets>
  <functionGroups builtInGroupCount="17"/>
  <definedNames>
    <definedName name="_xlnm._FilterDatabase" localSheetId="1" hidden="1">'Daily Track'!$B$2:$P$129</definedName>
    <definedName name="Resource">Resource!$B$4:$B$21</definedName>
    <definedName name="Z_00C12904_0F39_4BB5_8777_45349B322DDF_.wvu.FilterData" localSheetId="1" hidden="1">'Daily Track'!$G$2:$S$130</definedName>
    <definedName name="Z_02EA41C7_FDA0_4098_B582_B7178000E158_.wvu.FilterData" localSheetId="1" hidden="1">'Daily Track'!$G$2:$S$130</definedName>
    <definedName name="Z_04982118_2F11_4457_9ABB_74A35145DAA3_.wvu.FilterData" localSheetId="1" hidden="1">'Daily Track'!$G$2:$S$130</definedName>
    <definedName name="Z_051D1CA9_AD3E_4268_8658_F8950473509F_.wvu.FilterData" localSheetId="1" hidden="1">'Daily Track'!$A$2:$V$130</definedName>
    <definedName name="Z_051D1CA9_AD3E_4268_8658_F8950473509F_.wvu.Rows" localSheetId="0" hidden="1">Chart!#REF!</definedName>
    <definedName name="Z_0521475F_1811_4872_9395_60AAC50C2DCD_.wvu.FilterData" localSheetId="1" hidden="1">'Daily Track'!$G$2:$S$130</definedName>
    <definedName name="Z_0550C95A_6F64_4305_985F_E66614A579E0_.wvu.FilterData" localSheetId="1" hidden="1">'Daily Track'!$G$2:$S$130</definedName>
    <definedName name="Z_0619FF23_1DA1_4B1F_A482_0BADCA11BA8B_.wvu.FilterData" localSheetId="1" hidden="1">'Daily Track'!$G$2:$S$130</definedName>
    <definedName name="Z_08933C08_013F_421B_8581_A823B4AC505C_.wvu.FilterData" localSheetId="1" hidden="1">'Daily Track'!$G$2:$S$130</definedName>
    <definedName name="Z_090E3E51_0A72_4992_B1E9_190EFFE37BA4_.wvu.FilterData" localSheetId="1" hidden="1">'Daily Track'!$G$2:$S$130</definedName>
    <definedName name="Z_0A8A44BC_FA6E_44CD_94F6_F4BD52D3D8DF_.wvu.FilterData" localSheetId="1" hidden="1">'Daily Track'!$A$2:$BV$2</definedName>
    <definedName name="Z_0ACCE16F_8973_46F8_AAF1_DE3AA25B49CA_.wvu.FilterData" localSheetId="1" hidden="1">'Daily Track'!$G$2:$S$130</definedName>
    <definedName name="Z_0C8FC9E8_962B_430A_9708_BA9779ACBFED_.wvu.FilterData" localSheetId="1" hidden="1">'Daily Track'!$G$2:$S$130</definedName>
    <definedName name="Z_0C92B64B_A181_4045_84D2_0A363414021A_.wvu.FilterData" localSheetId="1" hidden="1">'Daily Track'!$G$2:$S$130</definedName>
    <definedName name="Z_0CFE29FB_CCEA_41DD_9A7F_7D1DF131DE2E_.wvu.FilterData" localSheetId="1" hidden="1">'Daily Track'!$G$2:$S$130</definedName>
    <definedName name="Z_0D0AC848_C91D_4CB1_8E85_4269B6A1E780_.wvu.FilterData" localSheetId="1" hidden="1">'Daily Track'!$G$2:$S$130</definedName>
    <definedName name="Z_0DBCCFC4_7B8A_480C_AC47_B992895D03C7_.wvu.FilterData" localSheetId="1" hidden="1">'Daily Track'!$G$2:$S$130</definedName>
    <definedName name="Z_0DC96FD1_705B_4E19_BCF6_CE3C3114C104_.wvu.FilterData" localSheetId="1" hidden="1">'Daily Track'!$G$2:$S$130</definedName>
    <definedName name="Z_1023276B_D2FF_4601_9DD5_8C3826F1A449_.wvu.FilterData" localSheetId="1" hidden="1">'Daily Track'!$A$2:$BV$130</definedName>
    <definedName name="Z_1185EBAB_7905_48AA_9180_57248D809106_.wvu.FilterData" localSheetId="1" hidden="1">'Daily Track'!$G$2:$S$130</definedName>
    <definedName name="Z_11E4FD6A_5D86_4473_8EB0_4957AEE53AA7_.wvu.FilterData" localSheetId="1" hidden="1">'Daily Track'!$G$2:$S$130</definedName>
    <definedName name="Z_11F47DB9_1ACE_4957_816A_14EEC3ADEF1C_.wvu.FilterData" localSheetId="1" hidden="1">'Daily Track'!$A$2:$BV$2</definedName>
    <definedName name="Z_133CA8B9_7F79_42A1_A25E_4EBC53F1D741_.wvu.FilterData" localSheetId="1" hidden="1">'Daily Track'!$G$2:$S$130</definedName>
    <definedName name="Z_1420515F_7E6E_4C3A_89C7_13E1FD805E06_.wvu.FilterData" localSheetId="1" hidden="1">'Daily Track'!$B$2:$P$129</definedName>
    <definedName name="Z_147E44D9_E4FC_4482_87E3_B633F9B273D0_.wvu.FilterData" localSheetId="1" hidden="1">'Daily Track'!$G$2:$O$130</definedName>
    <definedName name="Z_19804A3E_778D_4D91_B608_5ADAAF85C496_.wvu.FilterData" localSheetId="1" hidden="1">'Daily Track'!$G$2:$S$130</definedName>
    <definedName name="Z_19E79368_E7AE_480A_97F2_13710EB0110D_.wvu.FilterData" localSheetId="1" hidden="1">'Daily Track'!$G$2:$S$130</definedName>
    <definedName name="Z_1A3EFEFF_0748_49A0_9110_27918F89CB6D_.wvu.FilterData" localSheetId="1" hidden="1">'Daily Track'!$G$2:$S$130</definedName>
    <definedName name="Z_1B46AEB0_1A57_4C64_931A_F918F8CB5087_.wvu.FilterData" localSheetId="1" hidden="1">'Daily Track'!$G$2:$S$130</definedName>
    <definedName name="Z_1D2BA0AD_06E1_4866_964D_5E7004F16B17_.wvu.FilterData" localSheetId="1" hidden="1">'Daily Track'!$G$2:$S$130</definedName>
    <definedName name="Z_1E130549_9959_4252_A688_64524F9DE6ED_.wvu.FilterData" localSheetId="1" hidden="1">'Daily Track'!$G$2:$S$130</definedName>
    <definedName name="Z_1E1837AC_6500_412C_AC8B_145E792BD927_.wvu.FilterData" localSheetId="1" hidden="1">'Daily Track'!$G$2:$S$130</definedName>
    <definedName name="Z_204702EF_163B_47DB_97CC_AFCA7FC2DCCB_.wvu.FilterData" localSheetId="1" hidden="1">'Daily Track'!$G$2:$S$130</definedName>
    <definedName name="Z_21947B16_03DB_420E_A067_52012B011E5B_.wvu.FilterData" localSheetId="1" hidden="1">'Daily Track'!$G$2:$S$130</definedName>
    <definedName name="Z_21E79811_7AAF_43B9_9450_5F40BC87E44A_.wvu.FilterData" localSheetId="1" hidden="1">'Daily Track'!$G$2:$S$130</definedName>
    <definedName name="Z_21EA2887_F0F4_49B3_9FD4_E1E36A59A832_.wvu.FilterData" localSheetId="1" hidden="1">'Daily Track'!$G$2:$S$130</definedName>
    <definedName name="Z_21F882C6_CF86_4076_9613_A574329082AB_.wvu.FilterData" localSheetId="1" hidden="1">'Daily Track'!$G$2:$S$130</definedName>
    <definedName name="Z_221227E4_5837_4474_928D_3B123C1FAB43_.wvu.FilterData" localSheetId="1" hidden="1">'Daily Track'!$A$2:$BV$2</definedName>
    <definedName name="Z_235E86D7_1998_4E74_BA88_032387AAEB7D_.wvu.FilterData" localSheetId="1" hidden="1">'Daily Track'!$G$2:$S$130</definedName>
    <definedName name="Z_240C286B_DB1E_4FFF_98C7_CE2B8E56FAEA_.wvu.FilterData" localSheetId="1" hidden="1">'Daily Track'!$G$2:$S$130</definedName>
    <definedName name="Z_249B7347_A17D_411F_A78E_371D578D95CC_.wvu.FilterData" localSheetId="1" hidden="1">'Daily Track'!$G$2:$S$130</definedName>
    <definedName name="Z_27DE5733_61ED_41EE_A69B_8BAB0CE5077A_.wvu.FilterData" localSheetId="1" hidden="1">'Daily Track'!$G$2:$S$130</definedName>
    <definedName name="Z_28579E25_F775_48E1_98C2_206BE5E524FE_.wvu.FilterData" localSheetId="1" hidden="1">'Daily Track'!$B$2:$P$129</definedName>
    <definedName name="Z_28579E25_F775_48E1_98C2_206BE5E524FE_.wvu.Rows" localSheetId="0" hidden="1">Chart!#REF!</definedName>
    <definedName name="Z_292CF9DA_146F_4228_9ED5_AA953B7BADDC_.wvu.FilterData" localSheetId="1" hidden="1">'Daily Track'!$G$2:$S$130</definedName>
    <definedName name="Z_2AE8B063_C008_4732_B9E1_C08540CEC936_.wvu.FilterData" localSheetId="1" hidden="1">'Daily Track'!$G$2:$S$130</definedName>
    <definedName name="Z_2B0AEC04_2208_40C7_A990_2E64D5BC84BC_.wvu.FilterData" localSheetId="1" hidden="1">'Daily Track'!$G$2:$S$130</definedName>
    <definedName name="Z_2B94E893_B9F9_4D8D_A6EC_C1620352A1E5_.wvu.FilterData" localSheetId="1" hidden="1">'Daily Track'!$G$2:$S$130</definedName>
    <definedName name="Z_2D6714CF_6449_4BE4_ABCF_EDD75EE725B9_.wvu.FilterData" localSheetId="1" hidden="1">'Daily Track'!$A$2:$BV$2</definedName>
    <definedName name="Z_314F1405_BCA7_462C_A888_7EF5EBD97E41_.wvu.FilterData" localSheetId="1" hidden="1">'Daily Track'!$G$2:$S$130</definedName>
    <definedName name="Z_326C8FC0_2E8F_4B44_A850_D864A733491F_.wvu.FilterData" localSheetId="1" hidden="1">'Daily Track'!$G$2:$S$130</definedName>
    <definedName name="Z_32B057F2_AD17_49DD_8F81_8E9DE3B9727F_.wvu.FilterData" localSheetId="1" hidden="1">'Daily Track'!$A$2:$BV$130</definedName>
    <definedName name="Z_32B3CDDE_1894_4040_86AB_8B6DEAAC00DB_.wvu.FilterData" localSheetId="1" hidden="1">'Daily Track'!$B$2:$P$129</definedName>
    <definedName name="Z_350BD852_E525_4C08_B699_72BCDC6AA87E_.wvu.FilterData" localSheetId="1" hidden="1">'Daily Track'!$A$2:$V$130</definedName>
    <definedName name="Z_3AB47DEE_BDDC_49B1_BC59_135C414C3348_.wvu.FilterData" localSheetId="1" hidden="1">'Daily Track'!$G$2:$S$130</definedName>
    <definedName name="Z_3D68303D_5E50_44AA_9745_976E940C48C6_.wvu.FilterData" localSheetId="1" hidden="1">'Daily Track'!$B$2:$P$129</definedName>
    <definedName name="Z_3D68303D_5E50_44AA_9745_976E940C48C6_.wvu.Rows" localSheetId="0" hidden="1">Chart!#REF!</definedName>
    <definedName name="Z_3EBC3237_7050_471A_BD63_069C3642D1B2_.wvu.FilterData" localSheetId="1" hidden="1">'Daily Track'!$G$2:$S$130</definedName>
    <definedName name="Z_3F61DDB4_5C20_4C58_BC97_8AB8F529FFA8_.wvu.FilterData" localSheetId="1" hidden="1">'Daily Track'!$A$2:$BV$130</definedName>
    <definedName name="Z_4089CAC6_B2CF_429C_8818_EC52E320D08A_.wvu.FilterData" localSheetId="1" hidden="1">'Daily Track'!$B$2:$P$129</definedName>
    <definedName name="Z_409B0F44_3186_4213_8768_12D5F380C844_.wvu.FilterData" localSheetId="1" hidden="1">'Daily Track'!$G$2:$S$130</definedName>
    <definedName name="Z_427FE646_5D59_4038_866F_48BE8DFAF21D_.wvu.FilterData" localSheetId="1" hidden="1">'Daily Track'!$B$2:$P$129</definedName>
    <definedName name="Z_44117B2C_C61F_437C_A9C5_65A80C2AE348_.wvu.FilterData" localSheetId="1" hidden="1">'Daily Track'!$G$2:$S$130</definedName>
    <definedName name="Z_44117B2C_C61F_437C_A9C5_65A80C2AE348_.wvu.Rows" localSheetId="0" hidden="1">Chart!#REF!</definedName>
    <definedName name="Z_467EAE63_0D62_43B4_9E5B_4DED4A9D0236_.wvu.FilterData" localSheetId="1" hidden="1">'Daily Track'!$G$2:$S$130</definedName>
    <definedName name="Z_476398F1_D58F_4CE6_BEA5_3F7BF8A8FFFB_.wvu.FilterData" localSheetId="1" hidden="1">'Daily Track'!$G$2:$S$130</definedName>
    <definedName name="Z_496B1B49_F920_48C1_B26E_9A1F4E6E5157_.wvu.FilterData" localSheetId="1" hidden="1">'Daily Track'!$B$2:$P$129</definedName>
    <definedName name="Z_496B1B49_F920_48C1_B26E_9A1F4E6E5157_.wvu.Rows" localSheetId="0" hidden="1">Chart!#REF!</definedName>
    <definedName name="Z_4A609050_BAFC_4F83_AA06_684ED0391BEC_.wvu.FilterData" localSheetId="1" hidden="1">'Daily Track'!$G$2:$S$130</definedName>
    <definedName name="Z_4A749D27_40AD_4A0F_BF83_5B811DC1C678_.wvu.FilterData" localSheetId="1" hidden="1">'Daily Track'!$G$2:$S$130</definedName>
    <definedName name="Z_4E04FC2D_BCD1_4283_9D4C_078BB0C587C4_.wvu.FilterData" localSheetId="1" hidden="1">'Daily Track'!$G$2:$S$130</definedName>
    <definedName name="Z_4EB27A75_F2D3_4A1F_9A2D_B50F0E4F43E1_.wvu.FilterData" localSheetId="1" hidden="1">'Daily Track'!$G$2:$S$130</definedName>
    <definedName name="Z_4FDA3C8C_2A48_416C_AA66_16E8E291C87E_.wvu.FilterData" localSheetId="1" hidden="1">'Daily Track'!$A$2:$BV$2</definedName>
    <definedName name="Z_502081BD_CEE0_4206_97EA_C06712708CF3_.wvu.FilterData" localSheetId="1" hidden="1">'Daily Track'!$G$2:$S$130</definedName>
    <definedName name="Z_50851BF0_3D6A_4ABC_AE6E_C5F6BA755715_.wvu.FilterData" localSheetId="1" hidden="1">'Daily Track'!$A$2:$V$130</definedName>
    <definedName name="Z_50FFBA47_E221_4143_975E_6534E8666EFA_.wvu.FilterData" localSheetId="1" hidden="1">'Daily Track'!$G$2:$S$130</definedName>
    <definedName name="Z_521319B0_70C9_478D_B877_6AE94F61BBA5_.wvu.FilterData" localSheetId="1" hidden="1">'Daily Track'!$A$2:$BV$2</definedName>
    <definedName name="Z_52646C22_009A_42DB_9645_9B1CCBC06272_.wvu.FilterData" localSheetId="1" hidden="1">'Daily Track'!$G$2:$S$130</definedName>
    <definedName name="Z_52646C22_009A_42DB_9645_9B1CCBC06272_.wvu.Rows" localSheetId="0" hidden="1">Chart!#REF!</definedName>
    <definedName name="Z_53B0B031_4890_42BB_8C05_7C33DB48BCAF_.wvu.FilterData" localSheetId="1" hidden="1">'Daily Track'!$G$2:$S$130</definedName>
    <definedName name="Z_5505F1F1_88B7_4C1A_A235_B77DACA12021_.wvu.FilterData" localSheetId="1" hidden="1">'Daily Track'!$G$2:$S$130</definedName>
    <definedName name="Z_553DCE70_E6A3_437B_8275_434BFC1E8E5D_.wvu.FilterData" localSheetId="1" hidden="1">'Daily Track'!$G$2:$S$130</definedName>
    <definedName name="Z_57664585_C170_42FA_8A00_6B3C090AED91_.wvu.FilterData" localSheetId="1" hidden="1">'Daily Track'!$G$2:$S$130</definedName>
    <definedName name="Z_5AAB0302_C818_4ED7_B430_DC730A4BE164_.wvu.FilterData" localSheetId="1" hidden="1">'Daily Track'!$G$2:$S$130</definedName>
    <definedName name="Z_5BDD104E_85B6_4C19_82C5_56C90DAA5515_.wvu.FilterData" localSheetId="1" hidden="1">'Daily Track'!$G$2:$S$130</definedName>
    <definedName name="Z_5DC62200_E966_42EC_876C_0B719896BF62_.wvu.FilterData" localSheetId="1" hidden="1">'Daily Track'!$B$2:$P$129</definedName>
    <definedName name="Z_5DC62200_E966_42EC_876C_0B719896BF62_.wvu.Rows" localSheetId="0" hidden="1">Chart!#REF!</definedName>
    <definedName name="Z_620DCB69_5E7F_4AA5_BB27_84CB099BE8DF_.wvu.FilterData" localSheetId="1" hidden="1">'Daily Track'!$G$2:$S$130</definedName>
    <definedName name="Z_6226B060_09CB_4B2B_A198_007095FE3067_.wvu.FilterData" localSheetId="1" hidden="1">'Daily Track'!$G$2:$S$130</definedName>
    <definedName name="Z_63BBB3C8_2BBD_47A9_8577_895E120CF491_.wvu.FilterData" localSheetId="1" hidden="1">'Daily Track'!$A$2:$V$130</definedName>
    <definedName name="Z_63BBB3C8_2BBD_47A9_8577_895E120CF491_.wvu.Rows" localSheetId="0" hidden="1">Chart!#REF!</definedName>
    <definedName name="Z_640D93D1_5B1F_4BE9_88ED_E1402D87B4F6_.wvu.FilterData" localSheetId="1" hidden="1">'Daily Track'!$G$2:$S$130</definedName>
    <definedName name="Z_654B7EBC_CC1B_4240_A240_724CFFA935E8_.wvu.FilterData" localSheetId="1" hidden="1">'Daily Track'!$G$2:$S$130</definedName>
    <definedName name="Z_666C6E84_C39F_4FE4_8250_CCDB1379FB7B_.wvu.FilterData" localSheetId="1" hidden="1">'Daily Track'!$G$2:$S$130</definedName>
    <definedName name="Z_66AA5AAA_E54D_4A50_AB0E_D892E8DA9C76_.wvu.FilterData" localSheetId="1" hidden="1">'Daily Track'!$A$2:$BV$2</definedName>
    <definedName name="Z_6765FBE4_42BF_4A6A_9B53_DC4D86B53E33_.wvu.FilterData" localSheetId="1" hidden="1">'Daily Track'!$A$2:$BV$2</definedName>
    <definedName name="Z_694005FD_C9F0_4198_8BAC_74BD82F47529_.wvu.FilterData" localSheetId="1" hidden="1">'Daily Track'!$G$2:$S$130</definedName>
    <definedName name="Z_6ABFDB73_A4FC_493C_A504_1276E731333B_.wvu.FilterData" localSheetId="1" hidden="1">'Daily Track'!$B$2:$P$129</definedName>
    <definedName name="Z_6ABFDB73_A4FC_493C_A504_1276E731333B_.wvu.Rows" localSheetId="0" hidden="1">Chart!#REF!</definedName>
    <definedName name="Z_6AC162AB_41FA_41FC_98A6_92A30FDBFE79_.wvu.FilterData" localSheetId="1" hidden="1">'Daily Track'!$G$2:$S$130</definedName>
    <definedName name="Z_726ABC29_762D_4EB0_A3C4_BEA5D31437A5_.wvu.FilterData" localSheetId="1" hidden="1">'Daily Track'!$A$2:$V$130</definedName>
    <definedName name="Z_73565361_97F7_42F4_837A_37945610F80B_.wvu.FilterData" localSheetId="1" hidden="1">'Daily Track'!$A$2:$BV$2</definedName>
    <definedName name="Z_780A9B63_A10D_441C_98D5_E508127FB8F3_.wvu.FilterData" localSheetId="1" hidden="1">'Daily Track'!$G$2:$S$130</definedName>
    <definedName name="Z_788C6CF5_F77E_4D9C_BA96_5155E5E0E952_.wvu.FilterData" localSheetId="1" hidden="1">'Daily Track'!$G$2:$S$130</definedName>
    <definedName name="Z_797EC7E4_CD0B_440B_9831_AF91BE966163_.wvu.FilterData" localSheetId="1" hidden="1">'Daily Track'!$G$2:$S$130</definedName>
    <definedName name="Z_7A8039F4_2212_481C_8239_0D5DB6EAD15B_.wvu.FilterData" localSheetId="1" hidden="1">'Daily Track'!$G$2:$S$130</definedName>
    <definedName name="Z_7AC9EE31_E3C8_43A5_8490_C2342F28991D_.wvu.FilterData" localSheetId="1" hidden="1">'Daily Track'!$A$2:$V$130</definedName>
    <definedName name="Z_7AC9EE31_E3C8_43A5_8490_C2342F28991D_.wvu.Rows" localSheetId="0" hidden="1">Chart!#REF!</definedName>
    <definedName name="Z_7C7EFD68_65AB_43CC_9DA7_E16ECE7699E1_.wvu.FilterData" localSheetId="1" hidden="1">'Daily Track'!$G$2:$S$130</definedName>
    <definedName name="Z_7D5872EC_CC8E_479C_9529_4DF3E5164B5A_.wvu.FilterData" localSheetId="1" hidden="1">'Daily Track'!$G$2:$S$130</definedName>
    <definedName name="Z_7D59B872_BCED_4C65_AEE9_D3778DF325C0_.wvu.FilterData" localSheetId="1" hidden="1">'Daily Track'!$G$2:$S$130</definedName>
    <definedName name="Z_7E427091_283A_453B_94EB_2B448709C24B_.wvu.FilterData" localSheetId="1" hidden="1">'Daily Track'!$G$2:$S$130</definedName>
    <definedName name="Z_7E427091_283A_453B_94EB_2B448709C24B_.wvu.Rows" localSheetId="0" hidden="1">Chart!#REF!</definedName>
    <definedName name="Z_7F66006F_FB22_4A18_9D2F_3D56262D463D_.wvu.FilterData" localSheetId="1" hidden="1">'Daily Track'!$B$2:$P$129</definedName>
    <definedName name="Z_7F7D6C57_8D32_42DD_83C8_C1398964CBF2_.wvu.FilterData" localSheetId="1" hidden="1">'Daily Track'!$B$2:$P$129</definedName>
    <definedName name="Z_853418B4_E9D6_4704_AD48_F14C569ECDEF_.wvu.FilterData" localSheetId="1" hidden="1">'Daily Track'!$A$2:$BV$2</definedName>
    <definedName name="Z_884E568E_7343_4553_8712_275BBBAFF28F_.wvu.FilterData" localSheetId="1" hidden="1">'Daily Track'!$G$2:$S$130</definedName>
    <definedName name="Z_88FC1F8F_0FEC_4714_9F1F_6E349F5436F0_.wvu.FilterData" localSheetId="1" hidden="1">'Daily Track'!$A$2:$V$130</definedName>
    <definedName name="Z_8958DFB7_7BE8_4D56_8719_4AD78CB186A4_.wvu.FilterData" localSheetId="1" hidden="1">'Daily Track'!$G$2:$S$130</definedName>
    <definedName name="Z_8C47ADE1_7CA3_4AB3_A749_547B18615B1D_.wvu.FilterData" localSheetId="1" hidden="1">'Daily Track'!$A$2:$V$130</definedName>
    <definedName name="Z_8C47ADE1_7CA3_4AB3_A749_547B18615B1D_.wvu.Rows" localSheetId="0" hidden="1">Chart!#REF!</definedName>
    <definedName name="Z_8C651643_9E78_41F2_AF30_BD1024ADB479_.wvu.FilterData" localSheetId="1" hidden="1">'Daily Track'!$G$2:$S$130</definedName>
    <definedName name="Z_8E799CBD_C384_4591_AAAA_7C97051C518B_.wvu.FilterData" localSheetId="1" hidden="1">'Daily Track'!$B$2:$P$129</definedName>
    <definedName name="Z_8E81DB7D_5255_4329_86A9_BF2D25E22C07_.wvu.FilterData" localSheetId="1" hidden="1">'Daily Track'!$G$2:$S$130</definedName>
    <definedName name="Z_8EE48057_80AB_4D49_9FEE_65CF78F2A246_.wvu.Cols" localSheetId="1" hidden="1">'Daily Track'!#REF!</definedName>
    <definedName name="Z_8EE48057_80AB_4D49_9FEE_65CF78F2A246_.wvu.FilterData" localSheetId="1" hidden="1">'Daily Track'!$G$2:$O$130</definedName>
    <definedName name="Z_9097B049_B8A1_47E8_B9D6_933A68E76A04_.wvu.FilterData" localSheetId="1" hidden="1">'Daily Track'!$G$2:$S$130</definedName>
    <definedName name="Z_9099418D_E49E_4572_BCBA_F1DE53B5DFAB_.wvu.FilterData" localSheetId="1" hidden="1">'Daily Track'!$B$2:$P$129</definedName>
    <definedName name="Z_9099418D_E49E_4572_BCBA_F1DE53B5DFAB_.wvu.Rows" localSheetId="0" hidden="1">Chart!#REF!</definedName>
    <definedName name="Z_90C6E1F8_625E_4B5A_AFC2_1DC93F92945E_.wvu.FilterData" localSheetId="1" hidden="1">'Daily Track'!$G$2:$S$130</definedName>
    <definedName name="Z_922AB552_6261_4FA7_B869_997473E47F93_.wvu.FilterData" localSheetId="1" hidden="1">'Daily Track'!$G$2:$S$130</definedName>
    <definedName name="Z_948BBEF2_7CA4_4FE3_8D7C_CD66507DC2A6_.wvu.FilterData" localSheetId="1" hidden="1">'Daily Track'!$G$2:$S$130</definedName>
    <definedName name="Z_9880E37A_7D7F_41BF_A261_81D6A4E6F3DC_.wvu.FilterData" localSheetId="1" hidden="1">'Daily Track'!$G$2:$S$130</definedName>
    <definedName name="Z_98CFB866_B433_4300_A81E_F82D1789396D_.wvu.FilterData" localSheetId="1" hidden="1">'Daily Track'!$G$2:$S$130</definedName>
    <definedName name="Z_98F824F9_684A_4D23_A9AD_D2FE4037DB45_.wvu.FilterData" localSheetId="1" hidden="1">'Daily Track'!$G$2:$S$130</definedName>
    <definedName name="Z_99666B57_35DB_4648_81B6_037A8D3A1A73_.wvu.FilterData" localSheetId="1" hidden="1">'Daily Track'!$G$2:$S$130</definedName>
    <definedName name="Z_99E003D1_2858_414D_97CB_647C69C5219A_.wvu.FilterData" localSheetId="1" hidden="1">'Daily Track'!$G$2:$S$130</definedName>
    <definedName name="Z_9A961F82_BA98_4BD1_A8A6_7B20E3B37A31_.wvu.FilterData" localSheetId="1" hidden="1">'Daily Track'!$B$2:$P$129</definedName>
    <definedName name="Z_9AAEA13D_7403_4D31_B0AC_5F72ECD726A7_.wvu.FilterData" localSheetId="1" hidden="1">'Daily Track'!$G$2:$S$130</definedName>
    <definedName name="Z_9B4C80D5_E114_4A0C_A60E_7AD5BDB25DAD_.wvu.FilterData" localSheetId="1" hidden="1">'Daily Track'!$G$2:$S$130</definedName>
    <definedName name="Z_9B6049CB_74F7_4A4B_BDEE_129DA6BA93C7_.wvu.Cols" localSheetId="1" hidden="1">'Daily Track'!$T:$T</definedName>
    <definedName name="Z_9B6049CB_74F7_4A4B_BDEE_129DA6BA93C7_.wvu.FilterData" localSheetId="1" hidden="1">'Daily Track'!$G$2:$S$130</definedName>
    <definedName name="Z_9B6049CB_74F7_4A4B_BDEE_129DA6BA93C7_.wvu.Rows" localSheetId="0" hidden="1">Chart!#REF!</definedName>
    <definedName name="Z_9B985974_4396_454C_A12F_FF1554871ECC_.wvu.FilterData" localSheetId="1" hidden="1">'Daily Track'!$G$2:$S$130</definedName>
    <definedName name="Z_9ED9FB8C_A729_41EA_935E_82445338FD31_.wvu.FilterData" localSheetId="1" hidden="1">'Daily Track'!$G$2:$S$130</definedName>
    <definedName name="Z_9F3FCB48_CA56_4627_B71E_7DF27A1496A6_.wvu.FilterData" localSheetId="1" hidden="1">'Daily Track'!$G$2:$S$130</definedName>
    <definedName name="Z_9F84B7D2_F3C8_4BAE_AE0E_88FEE694C1C7_.wvu.FilterData" localSheetId="1" hidden="1">'Daily Track'!$G$2:$S$130</definedName>
    <definedName name="Z_9FB47601_740A_45F2_96E9_8207BD910FF6_.wvu.FilterData" localSheetId="1" hidden="1">'Daily Track'!$G$2:$S$130</definedName>
    <definedName name="Z_A0179960_2037_454D_BA81_E315A8E16A3A_.wvu.FilterData" localSheetId="1" hidden="1">'Daily Track'!$G$2:$S$130</definedName>
    <definedName name="Z_A0179960_2037_454D_BA81_E315A8E16A3A_.wvu.Rows" localSheetId="0" hidden="1">Chart!#REF!</definedName>
    <definedName name="Z_A0B8813F_FB85_4F55_970E_D7F10357FC7D_.wvu.FilterData" localSheetId="1" hidden="1">'Daily Track'!$G$2:$S$130</definedName>
    <definedName name="Z_A2080E54_FD29_441F_9227_7BEE1E9BC4D3_.wvu.FilterData" localSheetId="1" hidden="1">'Daily Track'!$A$2:$V$130</definedName>
    <definedName name="Z_A3F6280D_FBD4_4E9E_B2A1_D7CA8E964D5E_.wvu.FilterData" localSheetId="1" hidden="1">'Daily Track'!$G$2:$S$130</definedName>
    <definedName name="Z_A521652D_57C6_4292_A79A_663908B7FF11_.wvu.FilterData" localSheetId="1" hidden="1">'Daily Track'!$G$2:$S$130</definedName>
    <definedName name="Z_A521652D_57C6_4292_A79A_663908B7FF11_.wvu.Rows" localSheetId="0" hidden="1">Chart!#REF!</definedName>
    <definedName name="Z_A61DB6F3_7F7E_4FA7_B5E5_92EFF79BD062_.wvu.FilterData" localSheetId="1" hidden="1">'Daily Track'!$G$2:$S$130</definedName>
    <definedName name="Z_A81E9BDA_5224_46BD_A581_52BDFFC2E84A_.wvu.FilterData" localSheetId="1" hidden="1">'Daily Track'!$G$2:$S$130</definedName>
    <definedName name="Z_AA922F2C_AFF4_4AF1_B7C8_5E01AD8754D3_.wvu.FilterData" localSheetId="1" hidden="1">'Daily Track'!$G$2:$S$130</definedName>
    <definedName name="Z_AA95CC58_7156_4B7F_9252_D7F790CBF737_.wvu.FilterData" localSheetId="1" hidden="1">'Daily Track'!$G$2:$S$130</definedName>
    <definedName name="Z_ABB931E3_94CD_4E27_B416_B409D8637F8B_.wvu.FilterData" localSheetId="1" hidden="1">'Daily Track'!$A$2:$BV$2</definedName>
    <definedName name="Z_ABF22925_73EE_4CC7_838C_F88559BC7297_.wvu.FilterData" localSheetId="1" hidden="1">'Daily Track'!$A$2:$BV$2</definedName>
    <definedName name="Z_AF5727B1_2266_4398_ADA1_1E0C5ED7DF74_.wvu.FilterData" localSheetId="1" hidden="1">'Daily Track'!$B$2:$P$129</definedName>
    <definedName name="Z_B77A1629_4AEB_4937_9310_109A39C410C1_.wvu.FilterData" localSheetId="1" hidden="1">'Daily Track'!$G$2:$S$130</definedName>
    <definedName name="Z_B7DB9A62_7DA6_4C3D_8531_2A7B06C7DD11_.wvu.FilterData" localSheetId="1" hidden="1">'Daily Track'!$G$2:$S$130</definedName>
    <definedName name="Z_B88DF1D2_8735_4031_8120_F9860FFA0E9B_.wvu.FilterData" localSheetId="1" hidden="1">'Daily Track'!$A$2:$BV$2</definedName>
    <definedName name="Z_B8FB12DE_FAC7_4E7D_A4EE_9C02BFE537F5_.wvu.FilterData" localSheetId="1" hidden="1">'Daily Track'!$G$2:$S$130</definedName>
    <definedName name="Z_B989351D_DCA1_4032_A2A6_AC256C05AEAF_.wvu.FilterData" localSheetId="1" hidden="1">'Daily Track'!$G$2:$S$130</definedName>
    <definedName name="Z_B99D72B6_D62B_4086_BD8B_B2A86C5E312A_.wvu.FilterData" localSheetId="1" hidden="1">'Daily Track'!$G$2:$S$130</definedName>
    <definedName name="Z_BA680C88_7FC3_49C3_AA14_74432754B497_.wvu.FilterData" localSheetId="1" hidden="1">'Daily Track'!$G$2:$S$130</definedName>
    <definedName name="Z_BA680C88_7FC3_49C3_AA14_74432754B497_.wvu.Rows" localSheetId="0" hidden="1">Chart!#REF!</definedName>
    <definedName name="Z_BE1EB5BE_BF65_4209_889D_D3926960808F_.wvu.FilterData" localSheetId="1" hidden="1">'Daily Track'!$G$2:$S$130</definedName>
    <definedName name="Z_BEFC3343_FB9A_4649_B915_C0482DDC238F_.wvu.FilterData" localSheetId="1" hidden="1">'Daily Track'!$G$2:$S$130</definedName>
    <definedName name="Z_BF760E7C_5DEA_4966_A8B5_4F114907B053_.wvu.FilterData" localSheetId="1" hidden="1">'Daily Track'!$B$2:$P$129</definedName>
    <definedName name="Z_C04FD524_FA0C_4C41_A249_FB149D6DB51F_.wvu.FilterData" localSheetId="1" hidden="1">'Daily Track'!$B$2:$P$129</definedName>
    <definedName name="Z_C04FD524_FA0C_4C41_A249_FB149D6DB51F_.wvu.Rows" localSheetId="0" hidden="1">Chart!#REF!</definedName>
    <definedName name="Z_C16D780F_3D28_4EAA_BC68_55D205FF9B92_.wvu.FilterData" localSheetId="1" hidden="1">'Daily Track'!$B$2:$P$129</definedName>
    <definedName name="Z_C299741A_2767_4386_B3AB_D78380E83C22_.wvu.FilterData" localSheetId="1" hidden="1">'Daily Track'!$G$2:$S$130</definedName>
    <definedName name="Z_C55B95B2_4161_4E6D_8703_1A83FF9F95D4_.wvu.FilterData" localSheetId="1" hidden="1">'Daily Track'!$A$2:$V$130</definedName>
    <definedName name="Z_C55B95B2_4161_4E6D_8703_1A83FF9F95D4_.wvu.Rows" localSheetId="0" hidden="1">Chart!#REF!</definedName>
    <definedName name="Z_C5A9988D_1B2A_4000_96B6_74A42EEB5B4A_.wvu.FilterData" localSheetId="1" hidden="1">'Daily Track'!$G$2:$S$130</definedName>
    <definedName name="Z_C8D2B860_A4BF_479A_918A_6691F37A8842_.wvu.FilterData" localSheetId="1" hidden="1">'Daily Track'!$G$2:$S$130</definedName>
    <definedName name="Z_C9CAA6D6_DECB_45D4_A0D4_C6F3F9839A27_.wvu.FilterData" localSheetId="1" hidden="1">'Daily Track'!$G$2:$O$130</definedName>
    <definedName name="Z_CBAA7D8B_D486_41DF_B6D0_D71293163E33_.wvu.FilterData" localSheetId="1" hidden="1">'Daily Track'!$G$2:$S$130</definedName>
    <definedName name="Z_CBAA7D8B_D486_41DF_B6D0_D71293163E33_.wvu.Rows" localSheetId="0" hidden="1">Chart!#REF!</definedName>
    <definedName name="Z_CC2FDD00_39B6_4F48_B29E_1D65B5F70B24_.wvu.FilterData" localSheetId="1" hidden="1">'Daily Track'!$B$2:$P$129</definedName>
    <definedName name="Z_CCE3E0A0_186D_43C8_A372_8675AE0A31F9_.wvu.FilterData" localSheetId="1" hidden="1">'Daily Track'!$G$2:$S$130</definedName>
    <definedName name="Z_CD5AC431_FCE1_464A_B43D_635D0D337D0E_.wvu.FilterData" localSheetId="1" hidden="1">'Daily Track'!$A$2:$BV$130</definedName>
    <definedName name="Z_CE9F12C2_A546_4090_8B7F_DDD8AB955155_.wvu.FilterData" localSheetId="1" hidden="1">'Daily Track'!$G$2:$S$130</definedName>
    <definedName name="Z_CFB8BCB3_635A_4767_8A0A_B09C2AAFD02A_.wvu.FilterData" localSheetId="1" hidden="1">'Daily Track'!$G$2:$S$130</definedName>
    <definedName name="Z_D23C8D4A_D742_4932_8338_357F5209676C_.wvu.FilterData" localSheetId="1" hidden="1">'Daily Track'!$G$2:$S$130</definedName>
    <definedName name="Z_D3105A8A_F7D7_424A_986E_2376EC736EEA_.wvu.FilterData" localSheetId="1" hidden="1">'Daily Track'!$G$2:$S$130</definedName>
    <definedName name="Z_D3263304_FC11_4DA1_B98A_ED59C4269186_.wvu.FilterData" localSheetId="1" hidden="1">'Daily Track'!$G$2:$S$130</definedName>
    <definedName name="Z_D570678A_8A0A_41B9_A404_BD01C873A4B9_.wvu.FilterData" localSheetId="1" hidden="1">'Daily Track'!$G$2:$S$130</definedName>
    <definedName name="Z_D62F9D95_A79A_418D_B136_91BB3E5617AC_.wvu.FilterData" localSheetId="1" hidden="1">'Daily Track'!$G$2:$S$130</definedName>
    <definedName name="Z_D7251DD3_1204_43B7_B83A_C7383A205910_.wvu.FilterData" localSheetId="1" hidden="1">'Daily Track'!$A$2:$BV$2</definedName>
    <definedName name="Z_DCE9C236_9567_4ECA_96FC_D80F4DBD3B82_.wvu.FilterData" localSheetId="1" hidden="1">'Daily Track'!$G$2:$S$130</definedName>
    <definedName name="Z_DD3B93AE_D50C_4177_8673_6846A12A042B_.wvu.FilterData" localSheetId="1" hidden="1">'Daily Track'!$G$2:$S$130</definedName>
    <definedName name="Z_DEE575E8_89F5_4E5D_B9C1_E62677C6105A_.wvu.FilterData" localSheetId="1" hidden="1">'Daily Track'!$G$2:$S$130</definedName>
    <definedName name="Z_DFA7576E_9AE4_4510_A498_04C301206E9B_.wvu.FilterData" localSheetId="1" hidden="1">'Daily Track'!$G$2:$S$130</definedName>
    <definedName name="Z_E0140599_DC56_446E_B83D_D29EB47F3438_.wvu.FilterData" localSheetId="1" hidden="1">'Daily Track'!$G$2:$S$130</definedName>
    <definedName name="Z_E14BBACC_D68F_41DD_9C86_B0D798A5B788_.wvu.FilterData" localSheetId="1" hidden="1">'Daily Track'!$G$2:$S$130</definedName>
    <definedName name="Z_E1E1141E_F8F1_48C6_AEAE_0C5819137E91_.wvu.FilterData" localSheetId="1" hidden="1">'Daily Track'!$G$2:$S$130</definedName>
    <definedName name="Z_E2A5ADFB_2A67_4C55_BE85_DEF3AE67B4D4_.wvu.FilterData" localSheetId="1" hidden="1">'Daily Track'!$G$2:$S$130</definedName>
    <definedName name="Z_E3A67C25_DA9F_4098_8BCB_EDBB79C75A9B_.wvu.FilterData" localSheetId="1" hidden="1">'Daily Track'!$G$2:$S$130</definedName>
    <definedName name="Z_E3BE9722_2755_4C3F_BEA4_567B30F97E3B_.wvu.FilterData" localSheetId="1" hidden="1">'Daily Track'!$G$2:$S$130</definedName>
    <definedName name="Z_E4EC53AA_61BA_4687_AD44_28BA0F4829AF_.wvu.FilterData" localSheetId="1" hidden="1">'Daily Track'!$G$2:$S$130</definedName>
    <definedName name="Z_E58C8167_852E_40E7_A5BE_A4F33595E492_.wvu.FilterData" localSheetId="1" hidden="1">'Daily Track'!$G$2:$S$130</definedName>
    <definedName name="Z_E5AE4E74_16AA_46B4_8FA4_200E998654ED_.wvu.FilterData" localSheetId="1" hidden="1">'Daily Track'!$G$2:$S$130</definedName>
    <definedName name="Z_E9A97B28_AADA_4EA6_B2EF_1133E2C7DED5_.wvu.FilterData" localSheetId="1" hidden="1">'Daily Track'!$G$2:$S$130</definedName>
    <definedName name="Z_EA85C444_0B77_42A7_A627_8DFAEB030A0C_.wvu.FilterData" localSheetId="1" hidden="1">'Daily Track'!$B$2:$P$129</definedName>
    <definedName name="Z_EF4C86B4_137F_4865_AAA8_DFA18E73126C_.wvu.FilterData" localSheetId="1" hidden="1">'Daily Track'!$B$2:$P$129</definedName>
    <definedName name="Z_EF4C86B4_137F_4865_AAA8_DFA18E73126C_.wvu.Rows" localSheetId="0" hidden="1">Chart!#REF!</definedName>
    <definedName name="Z_F191C95B_190E_42AA_85F5_571813CB1E57_.wvu.FilterData" localSheetId="1" hidden="1">'Daily Track'!$G$2:$S$130</definedName>
    <definedName name="Z_F240F89F_EDAA_4096_A093_B97DCA0EC784_.wvu.FilterData" localSheetId="1" hidden="1">'Daily Track'!$G$2:$S$130</definedName>
    <definedName name="Z_F474B10A_E437_4056_988C_17E3A2F4C34E_.wvu.FilterData" localSheetId="1" hidden="1">'Daily Track'!$G$2:$S$130</definedName>
    <definedName name="Z_F523E01C_26BE_4313_8790_D25220E2323B_.wvu.FilterData" localSheetId="1" hidden="1">'Daily Track'!$G$2:$S$130</definedName>
    <definedName name="Z_F6F66EEC_A413_4882_BD9A_8950213B9A71_.wvu.FilterData" localSheetId="1" hidden="1">'Daily Track'!$G$2:$O$130</definedName>
    <definedName name="Z_F9F50B6F_B9E3_4673_B42C_92343725FF07_.wvu.FilterData" localSheetId="1" hidden="1">'Daily Track'!$A$2:$BV$2</definedName>
    <definedName name="Z_FA16BC52_B899_4A28_90BD_961AD0347982_.wvu.FilterData" localSheetId="1" hidden="1">'Daily Track'!$G$2:$S$130</definedName>
    <definedName name="Z_FA727615_5A6E_4085_9F0A_F145AC60C7F0_.wvu.FilterData" localSheetId="1" hidden="1">'Daily Track'!$G$2:$S$130</definedName>
    <definedName name="Z_FA7606F9_EC11_473C_90D8_4619951DECAE_.wvu.FilterData" localSheetId="1" hidden="1">'Daily Track'!$G$2:$S$130</definedName>
    <definedName name="Z_FB1006D6_6890_4F3F_A4DB_DBA007A47960_.wvu.FilterData" localSheetId="1" hidden="1">'Daily Track'!$G$2:$S$130</definedName>
    <definedName name="Z_FF0FC2F5_0B05_45FE_BDCA_8E26A803F0BF_.wvu.FilterData" localSheetId="1" hidden="1">'Daily Track'!$G$2:$S$130</definedName>
    <definedName name="Z_FF2A5ECB_AB5F_4A91_97DA_132021D9C61D_.wvu.FilterData" localSheetId="1" hidden="1">'Daily Track'!$G$2:$S$130</definedName>
  </definedNames>
  <calcPr calcId="145621"/>
  <customWorkbookViews>
    <customWorkbookView name="Thinh Nguyen Hoang - Personal View" guid="{EF4C86B4-137F-4865-AAA8-DFA18E73126C}" mergeInterval="0" personalView="1" maximized="1" xWindow="-8" yWindow="-8" windowWidth="1936" windowHeight="1056" activeSheetId="2"/>
    <customWorkbookView name="Van Thong Chau - Personal View" guid="{C04FD524-FA0C-4C41-A249-FB149D6DB51F}" mergeInterval="0" personalView="1" maximized="1" windowWidth="1902" windowHeight="843" activeSheetId="2"/>
    <customWorkbookView name="Vinh Thuan Tran - Personal View" guid="{496B1B49-F920-48C1-B26E-9A1F4E6E5157}" mergeInterval="0" personalView="1" maximized="1" windowWidth="1916" windowHeight="855" activeSheetId="2"/>
    <customWorkbookView name="ThinhNH - Personal View" guid="{28579E25-F775-48E1-98C2-206BE5E524FE}" mergeInterval="0" personalView="1" maximized="1" windowWidth="1916" windowHeight="855" activeSheetId="2"/>
    <customWorkbookView name="w-ndnv-01 - Personal View" guid="{5DC62200-E966-42EC-876C-0B719896BF62}" mergeInterval="0" personalView="1" maximized="1" windowWidth="1920" windowHeight="854" activeSheetId="2"/>
    <customWorkbookView name="moclty - Personal View" guid="{63BBB3C8-2BBD-47A9-8577-895E120CF491}" mergeInterval="0" personalView="1" maximized="1" windowWidth="1850" windowHeight="894" activeSheetId="4"/>
    <customWorkbookView name="Le Thi Yen Moc - Personal View" guid="{C55B95B2-4161-4E6D-8703-1A83FF9F95D4}" mergeInterval="0" personalView="1" maximized="1" windowWidth="1675" windowHeight="855" activeSheetId="2"/>
    <customWorkbookView name="User - Personal View" guid="{8C47ADE1-7CA3-4AB3-A749-547B18615B1D}" mergeInterval="0" personalView="1" maximized="1" windowWidth="1858" windowHeight="893" activeSheetId="2"/>
    <customWorkbookView name="Sakakibara - Personal View" guid="{051D1CA9-AD3E-4268-8658-F8950473509F}" mergeInterval="0" personalView="1" maximized="1" windowWidth="1916" windowHeight="865" activeSheetId="2"/>
    <customWorkbookView name="Quy Nguyen Duc - Personal View" guid="{7AC9EE31-E3C8-43A5-8490-C2342F28991D}" mergeInterval="0" personalView="1" maximized="1" windowWidth="1916" windowHeight="855" activeSheetId="4"/>
    <customWorkbookView name="Thang Truong Quang - Personal View" guid="{44117B2C-C61F-437C-A9C5-65A80C2AE348}" mergeInterval="0" personalView="1" maximized="1" windowWidth="1916" windowHeight="951" activeSheetId="2"/>
    <customWorkbookView name="Nguy Trung Tai - Personal View" guid="{A521652D-57C6-4292-A79A-663908B7FF11}" mergeInterval="0" personalView="1" maximized="1" windowWidth="1916" windowHeight="835" activeSheetId="2"/>
    <customWorkbookView name="Phuong Vo - Personal View" guid="{F9F50B6F-B9E3-4673-B42C-92343725FF07}" mergeInterval="0" personalView="1" maximized="1" xWindow="1" yWindow="1" windowWidth="1287" windowHeight="461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Le Khang\VIE25738 - Personal View" guid="{4FDA3C8C-2A48-416C-AA66-16E8E291C87E}" mergeInterval="0" personalView="1" maximized="1" xWindow="1" yWindow="1" windowWidth="1366" windowHeight="54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vie25735 - Personal View" guid="{B88DF1D2-8735-4031-8120-F9860FFA0E9B}" mergeInterval="0" personalView="1" maximized="1" xWindow="1" yWindow="1" windowWidth="1366" windowHeight="513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0728/Giao Tran - Personal View" guid="{66AA5AAA-E54D-4A50-AB0E-D892E8DA9C76}" mergeInterval="0" personalView="1" maximized="1" xWindow="1" yWindow="1" windowWidth="1366" windowHeight="538" activeSheetId="1"/>
    <customWorkbookView name="DuND - Personal View" guid="{8EE48057-80AB-4D49-9FEE-65CF78F2A246}" mergeInterval="0" personalView="1" maximized="1" windowWidth="1362" windowHeight="611" activeSheetId="2"/>
    <customWorkbookView name="phuongnt - Personal View" guid="{9B6049CB-74F7-4A4B-BDEE-129DA6BA93C7}" mergeInterval="0" personalView="1" maximized="1" windowWidth="1916" windowHeight="855" activeSheetId="2"/>
    <customWorkbookView name="GiangNT - Personal View" guid="{BA680C88-7FC3-49C3-AA14-74432754B497}" mergeInterval="0" personalView="1" maximized="1" windowWidth="1916" windowHeight="831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Thanh Vu Van - Personal View" guid="{52646C22-009A-42DB-9645-9B1CCBC06272}" mergeInterval="0" personalView="1" maximized="1" windowWidth="1858" windowHeight="860" activeSheetId="4"/>
    <customWorkbookView name="Sang Nguyen Hong Hoan - Personal View" guid="{CBAA7D8B-D486-41DF-B6D0-D71293163E33}" mergeInterval="0" personalView="1" maximized="1" windowWidth="1613" windowHeight="749" activeSheetId="4"/>
    <customWorkbookView name="Tuan Nguyen Quoc - Personal View" guid="{7E427091-283A-453B-94EB-2B448709C24B}" mergeInterval="0" personalView="1" maximized="1" windowWidth="1858" windowHeight="894" activeSheetId="2"/>
    <customWorkbookView name="yensv - Personal View" guid="{3D68303D-5E50-44AA-9745-976E940C48C6}" mergeInterval="0" personalView="1" windowWidth="1916" windowHeight="909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Du Nguyen - Personal View" guid="{6ABFDB73-A4FC-493C-A504-1276E731333B}" mergeInterval="0" personalView="1" maximized="1" windowWidth="1916" windowHeight="855" activeSheetId="2"/>
  </customWorkbookViews>
  <pivotCaches>
    <pivotCache cacheId="6" r:id="rId6"/>
    <pivotCache cacheId="7" r:id="rId7"/>
    <pivotCache cacheId="8" r:id="rId8"/>
  </pivotCaches>
</workbook>
</file>

<file path=xl/calcChain.xml><?xml version="1.0" encoding="utf-8"?>
<calcChain xmlns="http://schemas.openxmlformats.org/spreadsheetml/2006/main">
  <c r="B5" i="2" l="1"/>
  <c r="B8" i="2"/>
  <c r="D10" i="4"/>
  <c r="C10" i="4"/>
  <c r="B10" i="2" l="1"/>
  <c r="B11" i="2"/>
  <c r="B126" i="2" l="1"/>
  <c r="B127" i="2"/>
  <c r="B9" i="2"/>
  <c r="B7" i="2"/>
  <c r="B6" i="2"/>
  <c r="B4" i="2"/>
  <c r="B128" i="2"/>
  <c r="B129" i="2"/>
  <c r="J132" i="2" l="1"/>
  <c r="J133" i="2" s="1"/>
  <c r="C3" i="4" l="1"/>
  <c r="C4" i="4"/>
  <c r="C5" i="4"/>
  <c r="C6" i="4"/>
  <c r="C7" i="4"/>
  <c r="C8" i="4"/>
  <c r="C9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D3" i="4"/>
  <c r="D4" i="4"/>
  <c r="D5" i="4"/>
  <c r="D6" i="4"/>
  <c r="D7" i="4"/>
  <c r="D8" i="4"/>
  <c r="D9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J134" i="2"/>
  <c r="D2" i="4" l="1"/>
  <c r="C2" i="4"/>
  <c r="F5" i="3"/>
  <c r="F4" i="3"/>
  <c r="F3" i="3"/>
  <c r="F2" i="3"/>
  <c r="X2" i="2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D73" i="1"/>
  <c r="D72" i="1"/>
  <c r="D71" i="1"/>
  <c r="D70" i="1"/>
  <c r="D69" i="1"/>
  <c r="N54" i="1"/>
  <c r="N53" i="1"/>
  <c r="N52" i="1"/>
  <c r="N51" i="1"/>
  <c r="N50" i="1"/>
  <c r="N49" i="1"/>
  <c r="N48" i="1"/>
  <c r="N47" i="1"/>
  <c r="N46" i="1"/>
  <c r="N45" i="1"/>
  <c r="B2" i="1"/>
  <c r="B6" i="1" s="1"/>
  <c r="C2" i="1" l="1"/>
  <c r="C5" i="1" s="1"/>
  <c r="B25" i="1"/>
  <c r="B5" i="1"/>
  <c r="B24" i="1"/>
  <c r="N55" i="1"/>
  <c r="C25" i="1" l="1"/>
  <c r="D2" i="1"/>
  <c r="D6" i="1" s="1"/>
  <c r="C24" i="1"/>
  <c r="C6" i="1"/>
  <c r="E2" i="1" l="1"/>
  <c r="E25" i="1" s="1"/>
  <c r="D24" i="1"/>
  <c r="D5" i="1"/>
  <c r="D25" i="1"/>
  <c r="F2" i="1" l="1"/>
  <c r="F6" i="1" s="1"/>
  <c r="E5" i="1"/>
  <c r="E6" i="1"/>
  <c r="E24" i="1"/>
  <c r="F25" i="1" l="1"/>
  <c r="F24" i="1"/>
  <c r="G2" i="1"/>
  <c r="G6" i="1" s="1"/>
  <c r="F5" i="1"/>
  <c r="G5" i="1" l="1"/>
  <c r="H2" i="1"/>
  <c r="H25" i="1" s="1"/>
  <c r="G25" i="1"/>
  <c r="G24" i="1"/>
  <c r="H24" i="1" l="1"/>
  <c r="H5" i="1"/>
  <c r="H6" i="1"/>
  <c r="I2" i="1"/>
  <c r="I25" i="1" s="1"/>
  <c r="I24" i="1" l="1"/>
  <c r="J2" i="1"/>
  <c r="J24" i="1" s="1"/>
  <c r="I5" i="1"/>
  <c r="I6" i="1"/>
  <c r="K2" i="1" l="1"/>
  <c r="L2" i="1" s="1"/>
  <c r="J5" i="1"/>
  <c r="J25" i="1"/>
  <c r="J6" i="1"/>
  <c r="K6" i="1" l="1"/>
  <c r="K5" i="1"/>
  <c r="K25" i="1"/>
  <c r="K24" i="1"/>
  <c r="L6" i="1"/>
  <c r="L24" i="1"/>
  <c r="M2" i="1"/>
  <c r="L25" i="1"/>
  <c r="L5" i="1"/>
  <c r="M24" i="1" l="1"/>
  <c r="M25" i="1"/>
  <c r="M6" i="1"/>
  <c r="M5" i="1"/>
  <c r="N2" i="1"/>
  <c r="N25" i="1" l="1"/>
  <c r="N6" i="1"/>
  <c r="N5" i="1"/>
  <c r="O2" i="1"/>
  <c r="N24" i="1"/>
  <c r="O6" i="1" l="1"/>
  <c r="O25" i="1"/>
  <c r="P2" i="1"/>
  <c r="O5" i="1"/>
  <c r="O24" i="1"/>
  <c r="P6" i="1" l="1"/>
  <c r="P24" i="1"/>
  <c r="P25" i="1"/>
  <c r="Q2" i="1"/>
  <c r="P5" i="1"/>
  <c r="Q24" i="1" l="1"/>
  <c r="Q25" i="1"/>
  <c r="Q5" i="1"/>
  <c r="R2" i="1"/>
  <c r="Q6" i="1"/>
  <c r="R25" i="1" l="1"/>
  <c r="R5" i="1"/>
  <c r="R24" i="1"/>
  <c r="R6" i="1"/>
  <c r="S2" i="1"/>
  <c r="S6" i="1" l="1"/>
  <c r="S24" i="1"/>
  <c r="T2" i="1"/>
  <c r="S25" i="1"/>
  <c r="S5" i="1"/>
  <c r="T6" i="1" l="1"/>
  <c r="T24" i="1"/>
  <c r="U2" i="1"/>
  <c r="T5" i="1"/>
  <c r="T25" i="1"/>
  <c r="U24" i="1" l="1"/>
  <c r="U25" i="1"/>
  <c r="U6" i="1"/>
  <c r="U5" i="1"/>
  <c r="V2" i="1"/>
  <c r="V25" i="1" l="1"/>
  <c r="V6" i="1"/>
  <c r="V5" i="1"/>
  <c r="V24" i="1"/>
  <c r="W2" i="1"/>
  <c r="W6" i="1" l="1"/>
  <c r="W25" i="1"/>
  <c r="X2" i="1"/>
  <c r="W5" i="1"/>
  <c r="W24" i="1"/>
  <c r="X6" i="1" l="1"/>
  <c r="X24" i="1"/>
  <c r="X25" i="1"/>
  <c r="Y2" i="1"/>
  <c r="X5" i="1"/>
  <c r="Y24" i="1" l="1"/>
  <c r="Y25" i="1"/>
  <c r="Y5" i="1"/>
  <c r="Y6" i="1"/>
  <c r="Z2" i="1"/>
  <c r="Z25" i="1" l="1"/>
  <c r="Z5" i="1"/>
  <c r="Z24" i="1"/>
  <c r="Z6" i="1"/>
  <c r="AA2" i="1"/>
  <c r="AA6" i="1" l="1"/>
  <c r="AA24" i="1"/>
  <c r="AB2" i="1"/>
  <c r="AA25" i="1"/>
  <c r="AA5" i="1"/>
  <c r="AB6" i="1" l="1"/>
  <c r="AB24" i="1"/>
  <c r="AC2" i="1"/>
  <c r="AB25" i="1"/>
  <c r="AB5" i="1"/>
  <c r="AC24" i="1" l="1"/>
  <c r="AC25" i="1"/>
  <c r="AC6" i="1"/>
  <c r="AC5" i="1"/>
  <c r="AD2" i="1"/>
  <c r="AD25" i="1" l="1"/>
  <c r="AD6" i="1"/>
  <c r="AD5" i="1"/>
  <c r="AE2" i="1"/>
  <c r="AD24" i="1"/>
  <c r="AE6" i="1" l="1"/>
  <c r="AE25" i="1"/>
  <c r="AF2" i="1"/>
  <c r="AE5" i="1"/>
  <c r="AE24" i="1"/>
  <c r="AF6" i="1" l="1"/>
  <c r="AF24" i="1"/>
  <c r="AF25" i="1"/>
  <c r="AG2" i="1"/>
  <c r="AF5" i="1"/>
  <c r="AG24" i="1" l="1"/>
  <c r="AG25" i="1"/>
  <c r="AG5" i="1"/>
  <c r="AH2" i="1"/>
  <c r="AG6" i="1"/>
  <c r="AH25" i="1" l="1"/>
  <c r="AH5" i="1"/>
  <c r="AH24" i="1"/>
  <c r="AH6" i="1"/>
  <c r="AI2" i="1"/>
  <c r="AI6" i="1" l="1"/>
  <c r="AI24" i="1"/>
  <c r="AJ2" i="1"/>
  <c r="AI25" i="1"/>
  <c r="AI5" i="1"/>
  <c r="AJ6" i="1" l="1"/>
  <c r="AJ24" i="1"/>
  <c r="AK2" i="1"/>
  <c r="AJ5" i="1"/>
  <c r="AJ25" i="1"/>
  <c r="AK24" i="1" l="1"/>
  <c r="AK25" i="1"/>
  <c r="AK6" i="1"/>
  <c r="AK5" i="1"/>
  <c r="AL2" i="1"/>
  <c r="AL25" i="1" l="1"/>
  <c r="AL6" i="1"/>
  <c r="AL5" i="1"/>
  <c r="AL24" i="1"/>
  <c r="AM2" i="1"/>
  <c r="AM6" i="1" l="1"/>
  <c r="AM25" i="1"/>
  <c r="AN2" i="1"/>
  <c r="AM5" i="1"/>
  <c r="AM24" i="1"/>
  <c r="AN6" i="1" l="1"/>
  <c r="AN24" i="1"/>
  <c r="AN25" i="1"/>
  <c r="AO2" i="1"/>
  <c r="AN5" i="1"/>
  <c r="AO24" i="1" l="1"/>
  <c r="AO25" i="1"/>
  <c r="AO5" i="1"/>
  <c r="AO6" i="1"/>
  <c r="AP2" i="1"/>
  <c r="AP25" i="1" l="1"/>
  <c r="AP5" i="1"/>
  <c r="AP24" i="1"/>
  <c r="AP6" i="1"/>
  <c r="AQ2" i="1"/>
  <c r="AQ6" i="1" l="1"/>
  <c r="AQ24" i="1"/>
  <c r="AR2" i="1"/>
  <c r="AQ25" i="1"/>
  <c r="AQ5" i="1"/>
  <c r="AR6" i="1" l="1"/>
  <c r="AR24" i="1"/>
  <c r="AS2" i="1"/>
  <c r="AR25" i="1"/>
  <c r="AR5" i="1"/>
  <c r="AS24" i="1" l="1"/>
  <c r="AS25" i="1"/>
  <c r="AS6" i="1"/>
  <c r="AS5" i="1"/>
  <c r="AT2" i="1"/>
  <c r="AT25" i="1" l="1"/>
  <c r="AT6" i="1"/>
  <c r="AT5" i="1"/>
  <c r="AU2" i="1"/>
  <c r="AT24" i="1"/>
  <c r="AU6" i="1" l="1"/>
  <c r="AU25" i="1"/>
  <c r="AV2" i="1"/>
  <c r="AU5" i="1"/>
  <c r="AU24" i="1"/>
  <c r="AV6" i="1" l="1"/>
  <c r="AV24" i="1"/>
  <c r="AV25" i="1"/>
  <c r="AW2" i="1"/>
  <c r="AV5" i="1"/>
  <c r="AW24" i="1" l="1"/>
  <c r="AW25" i="1"/>
  <c r="AW5" i="1"/>
  <c r="AX2" i="1"/>
  <c r="AW6" i="1"/>
  <c r="AX25" i="1" l="1"/>
  <c r="AX5" i="1"/>
  <c r="AX24" i="1"/>
  <c r="AX6" i="1"/>
  <c r="AY2" i="1"/>
  <c r="AY6" i="1" l="1"/>
  <c r="AY24" i="1"/>
  <c r="AZ2" i="1"/>
  <c r="AY25" i="1"/>
  <c r="AY5" i="1"/>
  <c r="AZ6" i="1" l="1"/>
  <c r="AZ24" i="1"/>
  <c r="BA2" i="1"/>
  <c r="AZ5" i="1"/>
  <c r="AZ25" i="1"/>
  <c r="BA24" i="1" l="1"/>
  <c r="BA25" i="1"/>
  <c r="BA6" i="1"/>
  <c r="BA5" i="1"/>
  <c r="BB2" i="1"/>
  <c r="BB25" i="1" l="1"/>
  <c r="BB6" i="1"/>
  <c r="BB5" i="1"/>
  <c r="BB24" i="1"/>
  <c r="BC2" i="1"/>
  <c r="BC6" i="1" l="1"/>
  <c r="BC25" i="1"/>
  <c r="BD2" i="1"/>
  <c r="BC5" i="1"/>
  <c r="BC24" i="1"/>
  <c r="BD6" i="1" l="1"/>
  <c r="BD24" i="1"/>
  <c r="BD25" i="1"/>
  <c r="BE2" i="1"/>
  <c r="BD5" i="1"/>
  <c r="BE24" i="1" l="1"/>
  <c r="BE25" i="1"/>
  <c r="BE5" i="1"/>
  <c r="BE6" i="1"/>
  <c r="BF2" i="1"/>
  <c r="BF25" i="1" l="1"/>
  <c r="BF5" i="1"/>
  <c r="BF24" i="1"/>
  <c r="BF6" i="1"/>
  <c r="BG2" i="1"/>
  <c r="BG5" i="1" l="1"/>
  <c r="BG6" i="1"/>
  <c r="BG24" i="1"/>
  <c r="BH2" i="1"/>
  <c r="BG25" i="1"/>
  <c r="BH6" i="1" l="1"/>
  <c r="BH24" i="1"/>
  <c r="BI2" i="1"/>
  <c r="BH25" i="1"/>
  <c r="BH5" i="1"/>
  <c r="BI24" i="1" l="1"/>
  <c r="BI25" i="1"/>
  <c r="BI6" i="1"/>
  <c r="BI5" i="1"/>
  <c r="BJ2" i="1"/>
  <c r="BJ25" i="1" l="1"/>
  <c r="BJ6" i="1"/>
  <c r="BJ5" i="1"/>
  <c r="BK2" i="1"/>
  <c r="BJ24" i="1"/>
  <c r="BK5" i="1" l="1"/>
  <c r="BK6" i="1"/>
  <c r="BK25" i="1"/>
  <c r="BL2" i="1"/>
  <c r="BK24" i="1"/>
  <c r="BL6" i="1" l="1"/>
  <c r="BL24" i="1"/>
  <c r="BL25" i="1"/>
  <c r="BL5" i="1"/>
  <c r="BM2" i="1"/>
  <c r="BM24" i="1" l="1"/>
  <c r="BM25" i="1"/>
  <c r="BM5" i="1"/>
  <c r="BN2" i="1"/>
  <c r="BM6" i="1"/>
  <c r="BN25" i="1" l="1"/>
  <c r="BN24" i="1"/>
  <c r="BN6" i="1"/>
  <c r="BN5" i="1"/>
  <c r="BO2" i="1"/>
  <c r="BO5" i="1" l="1"/>
  <c r="BO6" i="1"/>
  <c r="BO24" i="1"/>
  <c r="BP2" i="1"/>
  <c r="BO25" i="1"/>
  <c r="BP6" i="1" l="1"/>
  <c r="BP24" i="1"/>
  <c r="BQ2" i="1"/>
  <c r="BP5" i="1"/>
  <c r="BP25" i="1"/>
  <c r="BQ24" i="1" l="1"/>
  <c r="BQ25" i="1"/>
  <c r="BQ5" i="1"/>
  <c r="BQ6" i="1"/>
  <c r="BR2" i="1"/>
  <c r="BR25" i="1" l="1"/>
  <c r="BR6" i="1"/>
  <c r="BR24" i="1"/>
  <c r="BS2" i="1"/>
  <c r="BR5" i="1"/>
  <c r="BS5" i="1" l="1"/>
  <c r="BS6" i="1"/>
  <c r="BS25" i="1"/>
  <c r="BT2" i="1"/>
  <c r="BS24" i="1"/>
  <c r="BT6" i="1" l="1"/>
  <c r="BT24" i="1"/>
  <c r="BT25" i="1"/>
  <c r="BU2" i="1"/>
  <c r="BT5" i="1"/>
  <c r="BU24" i="1" l="1"/>
  <c r="BU25" i="1"/>
  <c r="BU5" i="1"/>
  <c r="BU6" i="1"/>
  <c r="BV2" i="1"/>
  <c r="BV25" i="1" l="1"/>
  <c r="BV5" i="1"/>
  <c r="BV24" i="1"/>
  <c r="BV6" i="1"/>
  <c r="BW2" i="1"/>
  <c r="BW5" i="1" l="1"/>
  <c r="BW6" i="1"/>
  <c r="BW24" i="1"/>
  <c r="BX2" i="1"/>
  <c r="BW25" i="1"/>
  <c r="BX6" i="1" l="1"/>
  <c r="BX24" i="1"/>
  <c r="BY2" i="1"/>
  <c r="BX5" i="1"/>
  <c r="BX25" i="1"/>
  <c r="BY24" i="1" l="1"/>
  <c r="BY25" i="1"/>
  <c r="BY6" i="1"/>
  <c r="BY5" i="1"/>
  <c r="BZ2" i="1"/>
  <c r="BZ25" i="1" l="1"/>
  <c r="BZ5" i="1"/>
  <c r="BZ6" i="1"/>
  <c r="CA2" i="1"/>
  <c r="BZ24" i="1"/>
  <c r="CA5" i="1" l="1"/>
  <c r="CA6" i="1"/>
  <c r="CA25" i="1"/>
  <c r="CB2" i="1"/>
  <c r="CA24" i="1"/>
  <c r="CB6" i="1" l="1"/>
  <c r="CB24" i="1"/>
  <c r="CB25" i="1"/>
  <c r="CC2" i="1"/>
  <c r="CB5" i="1"/>
  <c r="CC24" i="1" l="1"/>
  <c r="CC25" i="1"/>
  <c r="CC5" i="1"/>
  <c r="CD2" i="1"/>
  <c r="CC6" i="1"/>
  <c r="CD25" i="1" l="1"/>
  <c r="CD5" i="1"/>
  <c r="CD24" i="1"/>
  <c r="CD6" i="1"/>
  <c r="CE2" i="1"/>
  <c r="CE5" i="1" l="1"/>
  <c r="CE6" i="1"/>
  <c r="CE24" i="1"/>
  <c r="CF2" i="1"/>
  <c r="CE25" i="1"/>
  <c r="CF6" i="1" l="1"/>
  <c r="CF24" i="1"/>
  <c r="CG2" i="1"/>
  <c r="CF25" i="1"/>
  <c r="CF5" i="1"/>
  <c r="CG24" i="1" l="1"/>
  <c r="CG25" i="1"/>
  <c r="CG6" i="1"/>
  <c r="CG5" i="1"/>
  <c r="CH2" i="1"/>
  <c r="CH25" i="1" l="1"/>
  <c r="CH5" i="1"/>
  <c r="CH6" i="1"/>
  <c r="CH24" i="1"/>
  <c r="CI2" i="1"/>
  <c r="CI5" i="1" l="1"/>
  <c r="CI6" i="1"/>
  <c r="CI25" i="1"/>
  <c r="CJ2" i="1"/>
  <c r="CI24" i="1"/>
  <c r="CJ6" i="1" l="1"/>
  <c r="CJ24" i="1"/>
  <c r="CJ25" i="1"/>
  <c r="CK2" i="1"/>
  <c r="CJ5" i="1"/>
  <c r="CK24" i="1" l="1"/>
  <c r="CK25" i="1"/>
  <c r="CK5" i="1"/>
  <c r="CK6" i="1"/>
  <c r="CL2" i="1"/>
  <c r="CL25" i="1" l="1"/>
  <c r="CL5" i="1"/>
  <c r="CL24" i="1"/>
  <c r="CL6" i="1"/>
  <c r="CM2" i="1"/>
  <c r="CM5" i="1" l="1"/>
  <c r="CM6" i="1"/>
  <c r="CM24" i="1"/>
  <c r="CN2" i="1"/>
  <c r="CM25" i="1"/>
  <c r="CN6" i="1" l="1"/>
  <c r="CN24" i="1"/>
  <c r="CO2" i="1"/>
  <c r="CN25" i="1"/>
  <c r="CN5" i="1"/>
  <c r="CO24" i="1" l="1"/>
  <c r="CO25" i="1"/>
  <c r="CO6" i="1"/>
  <c r="CO5" i="1"/>
  <c r="CP2" i="1"/>
  <c r="CP25" i="1" l="1"/>
  <c r="CP5" i="1"/>
  <c r="CP6" i="1"/>
  <c r="CQ2" i="1"/>
  <c r="CP24" i="1"/>
  <c r="CQ5" i="1" l="1"/>
  <c r="CQ6" i="1"/>
  <c r="CQ25" i="1"/>
  <c r="CR2" i="1"/>
  <c r="CQ24" i="1"/>
  <c r="CR6" i="1" l="1"/>
  <c r="CR24" i="1"/>
  <c r="CR25" i="1"/>
  <c r="CS2" i="1"/>
  <c r="CR5" i="1"/>
  <c r="CS24" i="1" l="1"/>
  <c r="CS25" i="1"/>
  <c r="CS5" i="1"/>
  <c r="CT2" i="1"/>
  <c r="CS6" i="1"/>
  <c r="CT25" i="1" l="1"/>
  <c r="CT5" i="1"/>
  <c r="CT24" i="1"/>
  <c r="CT6" i="1"/>
  <c r="CU2" i="1"/>
  <c r="CU5" i="1" l="1"/>
  <c r="CU6" i="1"/>
  <c r="CU24" i="1"/>
  <c r="CV2" i="1"/>
  <c r="CU25" i="1"/>
  <c r="CV6" i="1" l="1"/>
  <c r="CV24" i="1"/>
  <c r="CV25" i="1"/>
  <c r="CV5" i="1"/>
</calcChain>
</file>

<file path=xl/sharedStrings.xml><?xml version="1.0" encoding="utf-8"?>
<sst xmlns="http://schemas.openxmlformats.org/spreadsheetml/2006/main" count="386" uniqueCount="323">
  <si>
    <t>ID</t>
  </si>
  <si>
    <t>Name</t>
  </si>
  <si>
    <t>Date</t>
  </si>
  <si>
    <t>Non-Working Days</t>
  </si>
  <si>
    <t>Hung Vuong King day </t>
  </si>
  <si>
    <t>Victory day</t>
  </si>
  <si>
    <t>International Labor day</t>
  </si>
  <si>
    <t>Independence Day</t>
  </si>
  <si>
    <t>Description</t>
  </si>
  <si>
    <t>Status</t>
  </si>
  <si>
    <t>#</t>
  </si>
  <si>
    <t>Ref</t>
  </si>
  <si>
    <t>Company trip</t>
  </si>
  <si>
    <t>Plan</t>
  </si>
  <si>
    <t>Actual</t>
  </si>
  <si>
    <t>Duration</t>
  </si>
  <si>
    <t>Planned</t>
  </si>
  <si>
    <t>TEAM</t>
  </si>
  <si>
    <t>No</t>
  </si>
  <si>
    <t>Tasks</t>
  </si>
  <si>
    <t>Remark</t>
  </si>
  <si>
    <t>%</t>
  </si>
  <si>
    <t>Phase</t>
  </si>
  <si>
    <t>Start Date</t>
  </si>
  <si>
    <t>End Date</t>
  </si>
  <si>
    <t>ThinhNH</t>
  </si>
  <si>
    <t>IT</t>
  </si>
  <si>
    <t>LE</t>
  </si>
  <si>
    <t>RD</t>
  </si>
  <si>
    <t>ED</t>
  </si>
  <si>
    <t>M&amp;UT</t>
  </si>
  <si>
    <t>Tosaka</t>
  </si>
  <si>
    <t>MyQV</t>
  </si>
  <si>
    <t>PIC</t>
  </si>
  <si>
    <t>Start</t>
  </si>
  <si>
    <t>End</t>
  </si>
  <si>
    <t xml:space="preserve">Start </t>
  </si>
  <si>
    <t xml:space="preserve">End </t>
  </si>
  <si>
    <t>Task Name</t>
  </si>
  <si>
    <t>Row Labels</t>
  </si>
  <si>
    <t>(blank)</t>
  </si>
  <si>
    <t>Grand Total</t>
  </si>
  <si>
    <t>WBS.No</t>
  </si>
  <si>
    <t>Input</t>
  </si>
  <si>
    <t>Output</t>
  </si>
  <si>
    <t>Difficulty</t>
  </si>
  <si>
    <t>Priority</t>
  </si>
  <si>
    <t>ビジネス概要</t>
  </si>
  <si>
    <t>ビジネスルール定義書（WMS/CMN）</t>
  </si>
  <si>
    <t>非機能定義書（WMS/CMN）</t>
  </si>
  <si>
    <t>アクター定義書</t>
  </si>
  <si>
    <t>業務フロー（WMS/CMN）</t>
  </si>
  <si>
    <t>機能一覧（WMS/CMN）</t>
  </si>
  <si>
    <t>UI標準</t>
  </si>
  <si>
    <t>画面定義書（WMS/CMN）</t>
  </si>
  <si>
    <t>帳票定義書（WMS/CMN）</t>
  </si>
  <si>
    <t>メッセージ定義書（WMS/CMN）</t>
  </si>
  <si>
    <t>QP画面定義（WMS/CMN）</t>
  </si>
  <si>
    <t>帳票設計書（WMS/CMN）</t>
  </si>
  <si>
    <t>オンライン設計書（WMS/CMN）</t>
  </si>
  <si>
    <t>共通画面パーツ定義</t>
  </si>
  <si>
    <t>共通プロセス設計書（WMS/CMN）</t>
  </si>
  <si>
    <t>外部インターフェース定義書（WMS/CMN）</t>
  </si>
  <si>
    <t>ER図</t>
  </si>
  <si>
    <t>開発パッケージ構成ポリシー</t>
  </si>
  <si>
    <t>Takeda</t>
  </si>
  <si>
    <t>Nieda</t>
  </si>
  <si>
    <t>L3 Flag</t>
  </si>
  <si>
    <t>ソースコードRv反映</t>
  </si>
  <si>
    <t>Junit テストコード作成</t>
  </si>
  <si>
    <t>Junit テストコードRv</t>
  </si>
  <si>
    <t>Junit テストコードRv反映</t>
  </si>
  <si>
    <t>UT 実施要領</t>
  </si>
  <si>
    <t>L3-Schedule（WMS/CMN）</t>
  </si>
  <si>
    <t>M&amp;UT(QP 100%)</t>
  </si>
  <si>
    <t>M&amp;UT(QP XX%)</t>
  </si>
  <si>
    <t>バグFix</t>
  </si>
  <si>
    <t>試験結果確認</t>
  </si>
  <si>
    <t>Junit テストコード実施</t>
  </si>
  <si>
    <t>システム構成図/ネットワーク構成図</t>
  </si>
  <si>
    <t>命名規則/辞書</t>
  </si>
  <si>
    <t>外部インターフェース一覧</t>
  </si>
  <si>
    <t>帳票一覧（WMS/CMN）</t>
  </si>
  <si>
    <t>画面一覧（WMS/CMN）</t>
  </si>
  <si>
    <t>Medium</t>
  </si>
  <si>
    <t>Very High</t>
  </si>
  <si>
    <t>High</t>
  </si>
  <si>
    <t>Low</t>
  </si>
  <si>
    <t>Assesement For restart</t>
  </si>
  <si>
    <t>ドキュメント記載内容確認（Tosaka）</t>
  </si>
  <si>
    <t>RV（Nieda★/Tosaka）</t>
  </si>
  <si>
    <t>PM-Approval（Takeda★/Tosaka）</t>
  </si>
  <si>
    <t>定義内容の指示だし（武田）</t>
  </si>
  <si>
    <t>記載数値の設定（Tosaka/Nieda★）</t>
  </si>
  <si>
    <t>資料作成（Tosaka）</t>
  </si>
  <si>
    <t>RV（Tosaka/Nieda★）</t>
  </si>
  <si>
    <t>ドキュメント再作成（Tuyen）</t>
  </si>
  <si>
    <t>RV＆PM-Approval（Tuyen/Takeda★）</t>
  </si>
  <si>
    <t>不足分業務フローの再作成（Nieda）</t>
  </si>
  <si>
    <t>不足業務フローの意識あわせ（Nieda★/Tosaka/Tuyen）</t>
  </si>
  <si>
    <t>RV＆PM-Approval（Nieda/Tosaka/Tuyen/Takeda★）</t>
  </si>
  <si>
    <t>機能一覧の記載内容角に及び修正（Nieda/Tosaka★/Tin）</t>
  </si>
  <si>
    <t>上記修正が完了したあとにSub-Project1/Ph1のScopeを明確にする。※ABEの案件Scope確定のため（Nieda/Tosaka/Tin★）</t>
  </si>
  <si>
    <t>RV（Nieda★/Tosaka/Tin）</t>
  </si>
  <si>
    <t>PM-Approval（Nieda/Tosaka/Tin/武田★）</t>
  </si>
  <si>
    <t>資料作成（Khoa）</t>
  </si>
  <si>
    <t>RV＆PM-Approval（Khoa/武田★）</t>
  </si>
  <si>
    <t>作成状況確認（Khoa/Tosaka）</t>
  </si>
  <si>
    <t>贄田さんコメントの取込状況の展開（Khoa/Tosaka）</t>
  </si>
  <si>
    <t>作成不足分のL3Schedule作成（Khoa/Thinh★）</t>
  </si>
  <si>
    <t>不足分の作成（PG：Shedule ManagementはThinh 作成方法についてのPGサポートはTLおよびKhoa）</t>
  </si>
  <si>
    <t>RV（TL ※RVerはKhoaくんがAssignmentしてください）</t>
  </si>
  <si>
    <t>Approval（Khoa/Tosaka）</t>
  </si>
  <si>
    <t>Sample RV（Khoa/Takeda★）</t>
  </si>
  <si>
    <t>作成状況確認（Khoa）</t>
  </si>
  <si>
    <t>Approval（Khoa）</t>
  </si>
  <si>
    <t>PGもしくはTLへの作成指示（Khoa★/Tuyen/Thinh）</t>
  </si>
  <si>
    <t>Approval（Tuyen/Thinh）</t>
  </si>
  <si>
    <t>Sample RV（Tuyen/Thinh /Takeda★）</t>
  </si>
  <si>
    <t>ER-Diagramの修正（Tosaka）</t>
  </si>
  <si>
    <t>エンティティ定義書のExport（Tosaka）※この作業はTLに振ってもよし</t>
  </si>
  <si>
    <t>RV（Tosaka/Tuyen/Khoa/Tin/Thinh/武田）</t>
  </si>
  <si>
    <t>Approval（Takeda）</t>
  </si>
  <si>
    <t>記載内容確認（Tosaka★/Tuyen）</t>
  </si>
  <si>
    <t>RV＆PM-Approval（Tosaka★/Tuyen）</t>
  </si>
  <si>
    <t>KhoaMD</t>
  </si>
  <si>
    <t>TinHD</t>
  </si>
  <si>
    <t>営業TOOLキット</t>
  </si>
  <si>
    <t>検討会の実施（Tosaka/Tin/Khoa/Tuyen/Huan/Vy/My）</t>
  </si>
  <si>
    <t>ドキュメントの作成（アサインはTosakaさんにまかせます）</t>
  </si>
  <si>
    <t>RV＆PM-Approval（Tosaka/Tin/Khoa/Tuyen/Takeda★）</t>
  </si>
  <si>
    <t>各ドキュメントの作成およびRV（各責任者）</t>
  </si>
  <si>
    <t>PM-Approval（各責任者と武田）</t>
  </si>
  <si>
    <t>贄田さんに格納場所の連絡（武田）</t>
  </si>
  <si>
    <t>・Business Flow（Tosaka/Nieda）</t>
  </si>
  <si>
    <t>・Business Rule（Tosaka/Nieda）</t>
  </si>
  <si>
    <t>・Screen MockUp（Khoa）</t>
  </si>
  <si>
    <t>・Screen List（Tuyen/Thinh）</t>
  </si>
  <si>
    <t>・Function List（Tosaka/Tin）</t>
  </si>
  <si>
    <t>・Report List（Tuyen/Thinh）</t>
  </si>
  <si>
    <t>タスクフロー</t>
  </si>
  <si>
    <t>Finish</t>
  </si>
  <si>
    <t>Person</t>
  </si>
  <si>
    <t>On Going</t>
  </si>
  <si>
    <t>Task</t>
  </si>
  <si>
    <t>Task kind</t>
  </si>
  <si>
    <t>Column Labels</t>
  </si>
  <si>
    <t>Total Task</t>
  </si>
  <si>
    <t>Total Finish</t>
  </si>
  <si>
    <t>エンティティ定義書（WMS/CMN）</t>
  </si>
  <si>
    <t>(All)</t>
  </si>
  <si>
    <t>ER図（WMS/CMN）</t>
  </si>
  <si>
    <t>エンティティ定義書（WMS/CMN）
エンティティ一覧（WMS/CMN）</t>
  </si>
  <si>
    <t>ソースコード自動生成</t>
  </si>
  <si>
    <t>画面系のソースコード作成</t>
  </si>
  <si>
    <t>画面系のソースコードRv</t>
  </si>
  <si>
    <t>画面系の試験項目作成</t>
  </si>
  <si>
    <t>画面系のソースコードRv反映</t>
  </si>
  <si>
    <t>画面系の試験項目Rv</t>
  </si>
  <si>
    <t>画面系の試験項目Rv反映</t>
  </si>
  <si>
    <t>画面系の試験項目実施</t>
  </si>
  <si>
    <t>バグFix＋再試験</t>
  </si>
  <si>
    <t>QPモジュール修正</t>
  </si>
  <si>
    <t>QPモジュールRv</t>
  </si>
  <si>
    <t>QPモジュールRv反映</t>
  </si>
  <si>
    <t>ソースコード修正</t>
  </si>
  <si>
    <t>ソースコード修正Rv</t>
  </si>
  <si>
    <t>試験項目作成（画面とロジック）</t>
  </si>
  <si>
    <t>試験項目作成（画面とロジック）Rv</t>
  </si>
  <si>
    <t>試験項目作成（画面とロジック）Rv反映</t>
  </si>
  <si>
    <t>ER図（WMS/CMN）Rv</t>
  </si>
  <si>
    <t>ER図（WMS/CMN）Rv反映</t>
  </si>
  <si>
    <t>ER図（WMS/CMN）作成</t>
  </si>
  <si>
    <t>ER図（WMS/CMN）承認</t>
  </si>
  <si>
    <t>ER図Rv</t>
  </si>
  <si>
    <t>ER図Rv反映</t>
  </si>
  <si>
    <t>ER図作成</t>
  </si>
  <si>
    <t>ER図承認</t>
  </si>
  <si>
    <t>L0/L1-Schedule</t>
  </si>
  <si>
    <t>L0/L1-Scheduleセルフチェック＆修正</t>
  </si>
  <si>
    <t>L0/L1-Schedule作成</t>
  </si>
  <si>
    <t>L0/L1-Schedule承認</t>
  </si>
  <si>
    <t>L2-Schedule（WMS/CMN）</t>
  </si>
  <si>
    <t>L2-Schedule（WMS/CMN）Rv</t>
  </si>
  <si>
    <t>L2-Schedule（WMS/CMN）Rv反映</t>
  </si>
  <si>
    <t>L2-Schedule（WMS/CMN）作成</t>
  </si>
  <si>
    <t>L2-Schedule（WMS/CMN）承認</t>
  </si>
  <si>
    <t>L3-Schedule（WMS/CMN）Rv</t>
  </si>
  <si>
    <t>L3-Schedule（WMS/CMN）Rv反映</t>
  </si>
  <si>
    <t>L3-Schedule（WMS/CMN）作成</t>
  </si>
  <si>
    <t>L3-Schedule（WMS/CMN）承認</t>
  </si>
  <si>
    <t>UI標準Rv</t>
  </si>
  <si>
    <t>UI標準Rv反映</t>
  </si>
  <si>
    <t>UI標準作成</t>
  </si>
  <si>
    <t>UI標準承認</t>
  </si>
  <si>
    <t>UT 実施要領Rv</t>
  </si>
  <si>
    <t>UT 実施要領Rv反映</t>
  </si>
  <si>
    <t>UT 実施要領作成</t>
  </si>
  <si>
    <t>UT 実施要領承認</t>
  </si>
  <si>
    <t>アクター定義書Rv</t>
  </si>
  <si>
    <t>アクター定義書Rv反映</t>
  </si>
  <si>
    <t>アクター定義書作成</t>
  </si>
  <si>
    <t>アクター定義書承認</t>
  </si>
  <si>
    <t>エンティティ一覧（WMS/CMN）</t>
  </si>
  <si>
    <t>エンティティ一覧（WMS/CMN）Rv</t>
  </si>
  <si>
    <t>エンティティ一覧（WMS/CMN）Rv反映</t>
  </si>
  <si>
    <t>エンティティ一覧（WMS/CMN）作成</t>
  </si>
  <si>
    <t>エンティティ一覧（WMS/CMN）承認</t>
  </si>
  <si>
    <t>エンティティ定義書（WMS/CMN）Rv</t>
  </si>
  <si>
    <t>エンティティ定義書（WMS/CMN）Rv反映</t>
  </si>
  <si>
    <t>エンティティ定義書（WMS/CMN）作成</t>
  </si>
  <si>
    <t>エンティティ定義書（WMS/CMN）承認</t>
  </si>
  <si>
    <t>コーディング規約</t>
  </si>
  <si>
    <t>コーディング規約Rv</t>
  </si>
  <si>
    <t>コーディング規約Rv反映</t>
  </si>
  <si>
    <t>コーディング規約作成</t>
  </si>
  <si>
    <t>コーディング規約承認</t>
  </si>
  <si>
    <t>システム構成図/ネットワーク構成図Rv</t>
  </si>
  <si>
    <t>システム構成図/ネットワーク構成図Rv反映</t>
  </si>
  <si>
    <t>システム構成図/ネットワーク構成図作成</t>
  </si>
  <si>
    <t>システム構成図/ネットワーク構成図承認</t>
  </si>
  <si>
    <t>タスクフローRv＆修正</t>
  </si>
  <si>
    <t>タスクフロー作成(ED)</t>
  </si>
  <si>
    <t>タスクフロー作成(IT)</t>
  </si>
  <si>
    <t>タスクフロー作成(MUT)</t>
  </si>
  <si>
    <t>タスクフロー作成(ST)</t>
  </si>
  <si>
    <t>ビジネスルール定義書（WMS/CMN）Rv</t>
  </si>
  <si>
    <t>ビジネスルール定義書（WMS/CMN）Rv反映</t>
  </si>
  <si>
    <t>ビジネスルール定義書（WMS/CMN）作成</t>
  </si>
  <si>
    <t>ビジネスルール定義書（WMS/CMN）承認</t>
  </si>
  <si>
    <t>ビジネス概要Rv</t>
  </si>
  <si>
    <t>ビジネス概要Rv反映</t>
  </si>
  <si>
    <t>ビジネス概要作成</t>
  </si>
  <si>
    <t>ビジネス概要承認</t>
  </si>
  <si>
    <t>プロジェクト計画書</t>
  </si>
  <si>
    <t>プロジェクト計画書セルフチェック＆修正</t>
  </si>
  <si>
    <t>プロジェクト計画書作成</t>
  </si>
  <si>
    <t>命名規則/辞書Rv</t>
  </si>
  <si>
    <t>命名規則/辞書Rv反映</t>
  </si>
  <si>
    <t>命名規則/辞書作成</t>
  </si>
  <si>
    <t>命名規則/辞書承認</t>
  </si>
  <si>
    <t>外部インターフェース一覧Rv</t>
  </si>
  <si>
    <t>外部インターフェース一覧Rv反映</t>
  </si>
  <si>
    <t>外部インターフェース一覧作成</t>
  </si>
  <si>
    <t>外部インターフェース一覧承認</t>
  </si>
  <si>
    <t>工程定義</t>
  </si>
  <si>
    <t>工程定義セルフチェック＆修正</t>
  </si>
  <si>
    <t>工程定義作成</t>
  </si>
  <si>
    <t>帳票一覧（WMS/CMN）Rv</t>
  </si>
  <si>
    <t>帳票一覧（WMS/CMN）Rv反映</t>
  </si>
  <si>
    <t>帳票一覧（WMS/CMN）作成</t>
  </si>
  <si>
    <t>帳票一覧（WMS/CMN）承認</t>
  </si>
  <si>
    <t>成果物一覧</t>
  </si>
  <si>
    <t>成果物一覧セルフチェック＆修正</t>
  </si>
  <si>
    <t>成果物一覧作成</t>
  </si>
  <si>
    <t>業務フロー（WMS/CMN）Rv</t>
  </si>
  <si>
    <t>業務フロー（WMS/CMN）Rv反映</t>
  </si>
  <si>
    <t>業務フロー（WMS/CMN）作成</t>
  </si>
  <si>
    <t>業務フロー（WMS/CMN）承認</t>
  </si>
  <si>
    <t>機能一覧（WMS/CMN）Rv</t>
  </si>
  <si>
    <t>機能一覧（WMS/CMN）Rv反映</t>
  </si>
  <si>
    <t>機能一覧（WMS/CMN）作成</t>
  </si>
  <si>
    <t>機能一覧（WMS/CMN）承認</t>
  </si>
  <si>
    <t>画面一覧（WMS/CMN）Rv</t>
  </si>
  <si>
    <t>画面一覧（WMS/CMN）Rv反映</t>
  </si>
  <si>
    <t>画面一覧（WMS/CMN）作成</t>
  </si>
  <si>
    <t>画面一覧（WMS/CMN）承認</t>
  </si>
  <si>
    <t>画面遷移図（WMS/CMN）</t>
  </si>
  <si>
    <t>画面遷移図（WMS/CMN）Rv</t>
  </si>
  <si>
    <t>画面遷移図（WMS/CMN）Rv反映</t>
  </si>
  <si>
    <t>画面遷移図（WMS/CMN）作成</t>
  </si>
  <si>
    <t>画面遷移図（WMS/CMN）承認</t>
  </si>
  <si>
    <t>見積（WMS/CMN）</t>
  </si>
  <si>
    <t>見積（WMS/CMN）Rv</t>
  </si>
  <si>
    <t>見積（WMS/CMN）Rv反映</t>
  </si>
  <si>
    <t>見積（WMS/CMN）作成</t>
  </si>
  <si>
    <t>見積（WMS/CMN）承認</t>
  </si>
  <si>
    <t>開発パッケージ構成ポリシーRv</t>
  </si>
  <si>
    <t>開発パッケージ構成ポリシーRv反映</t>
  </si>
  <si>
    <t>開発パッケージ構成ポリシー作成</t>
  </si>
  <si>
    <t>開発パッケージ構成ポリシー承認</t>
  </si>
  <si>
    <t>非機能定義書（WMS/CMN）Rv</t>
  </si>
  <si>
    <t>非機能定義書（WMS/CMN）Rv反映</t>
  </si>
  <si>
    <t>非機能定義書（WMS/CMN）作成</t>
  </si>
  <si>
    <t>非機能定義書（WMS/CMN）承認</t>
  </si>
  <si>
    <t>Count of End</t>
  </si>
  <si>
    <t>Duration
(h)</t>
  </si>
  <si>
    <t>MD</t>
  </si>
  <si>
    <t>MH</t>
  </si>
  <si>
    <t>MM</t>
  </si>
  <si>
    <t>Running Component Test source</t>
  </si>
  <si>
    <t>DungHC</t>
  </si>
  <si>
    <t>Vinhnt</t>
  </si>
  <si>
    <t>ThuongLT</t>
  </si>
  <si>
    <t>LinhNK</t>
  </si>
  <si>
    <t>NhoNT</t>
  </si>
  <si>
    <t>HungNQ</t>
  </si>
  <si>
    <t>Management + Communication</t>
  </si>
  <si>
    <t>Category</t>
  </si>
  <si>
    <t>Hands-on</t>
  </si>
  <si>
    <t>Training</t>
  </si>
  <si>
    <t xml:space="preserve">Tesing </t>
  </si>
  <si>
    <t>Meeting</t>
  </si>
  <si>
    <t>Alls</t>
  </si>
  <si>
    <t>Meeting in DaNang: Share knowledge</t>
  </si>
  <si>
    <t>Meeting with Nghia/Huy: Check knowledge</t>
  </si>
  <si>
    <t>Understand Test code of Button</t>
  </si>
  <si>
    <t>Understand Test code of Checkbox</t>
  </si>
  <si>
    <t>Understand Test code of Textfield</t>
  </si>
  <si>
    <t>Understand Test code of Pagination</t>
  </si>
  <si>
    <t>Make</t>
  </si>
  <si>
    <t>Communication and Management</t>
  </si>
  <si>
    <t>Make Test for a-tooltip</t>
  </si>
  <si>
    <t>Make Test for m-steps</t>
  </si>
  <si>
    <t>Make Test for Logger Module</t>
  </si>
  <si>
    <t>Make Test for Logger Service</t>
  </si>
  <si>
    <t>Make Test for m-radio</t>
  </si>
  <si>
    <t>Make Test for a-progress-bar</t>
  </si>
  <si>
    <t>Make Test for m-selectbox</t>
  </si>
  <si>
    <t>Make Test for Headings</t>
  </si>
  <si>
    <t>Make Test for o-subheader</t>
  </si>
  <si>
    <t>TrungMN</t>
  </si>
  <si>
    <t>Make Test for Selectbox 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</si>
</sst>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_);_(* \(#,##0.0\);_(* &quot;-&quot;?_);_(@_)"/>
    <numFmt numFmtId="165" formatCode="[$-409]d\-mmm;@"/>
    <numFmt numFmtId="166" formatCode="[$-409]d\-mmm\-yy;@"/>
    <numFmt numFmtId="167" formatCode="0.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.5"/>
      <color theme="1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11"/>
      <color rgb="FF963634"/>
      <name val="Calibri"/>
      <family val="2"/>
      <scheme val="minor"/>
    </font>
    <font>
      <b/>
      <sz val="11"/>
      <color rgb="FFF79646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u/>
      <sz val="8"/>
      <color rgb="FFFB051C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D347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 degree="180">
        <stop position="0">
          <color theme="0"/>
        </stop>
        <stop position="1">
          <color rgb="FF92D050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dashed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dashed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1" xfId="0" applyBorder="1"/>
    <xf numFmtId="0" fontId="2" fillId="2" borderId="1" xfId="1" applyFont="1" applyFill="1" applyBorder="1" applyAlignment="1">
      <alignment horizontal="center" wrapText="1"/>
    </xf>
    <xf numFmtId="166" fontId="1" fillId="0" borderId="1" xfId="1" applyNumberFormat="1" applyBorder="1"/>
    <xf numFmtId="0" fontId="1" fillId="0" borderId="1" xfId="1" applyBorder="1"/>
    <xf numFmtId="0" fontId="1" fillId="0" borderId="1" xfId="1" applyFill="1" applyBorder="1"/>
    <xf numFmtId="165" fontId="11" fillId="3" borderId="9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1" xfId="1" applyFont="1" applyFill="1" applyBorder="1"/>
    <xf numFmtId="0" fontId="3" fillId="0" borderId="0" xfId="0" applyFont="1" applyFill="1" applyBorder="1" applyAlignment="1" applyProtection="1">
      <alignment vertical="center"/>
    </xf>
    <xf numFmtId="0" fontId="4" fillId="0" borderId="0" xfId="0" applyNumberFormat="1" applyFont="1" applyFill="1" applyAlignment="1" applyProtection="1">
      <alignment horizontal="left" vertical="center"/>
    </xf>
    <xf numFmtId="0" fontId="4" fillId="3" borderId="0" xfId="0" applyNumberFormat="1" applyFont="1" applyFill="1" applyAlignment="1" applyProtection="1">
      <alignment horizontal="left" vertical="center"/>
    </xf>
    <xf numFmtId="0" fontId="4" fillId="3" borderId="0" xfId="0" applyFont="1" applyFill="1" applyAlignment="1" applyProtection="1">
      <alignment vertical="center"/>
    </xf>
    <xf numFmtId="0" fontId="4" fillId="4" borderId="0" xfId="0" applyFont="1" applyFill="1" applyAlignment="1" applyProtection="1">
      <alignment vertical="center"/>
    </xf>
    <xf numFmtId="0" fontId="4" fillId="4" borderId="0" xfId="0" applyNumberFormat="1" applyFont="1" applyFill="1" applyAlignment="1" applyProtection="1">
      <alignment horizontal="left" vertical="center"/>
    </xf>
    <xf numFmtId="0" fontId="13" fillId="5" borderId="1" xfId="0" applyFont="1" applyFill="1" applyBorder="1" applyProtection="1">
      <protection locked="0"/>
    </xf>
    <xf numFmtId="0" fontId="10" fillId="0" borderId="9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5" borderId="1" xfId="0" applyFill="1" applyBorder="1" applyProtection="1">
      <protection locked="0"/>
    </xf>
    <xf numFmtId="0" fontId="0" fillId="0" borderId="0" xfId="0" applyFont="1" applyFill="1" applyAlignment="1" applyProtection="1">
      <alignment vertical="center"/>
    </xf>
    <xf numFmtId="164" fontId="7" fillId="0" borderId="8" xfId="0" applyNumberFormat="1" applyFont="1" applyFill="1" applyBorder="1" applyAlignment="1" applyProtection="1">
      <alignment horizontal="center" vertical="center"/>
    </xf>
    <xf numFmtId="164" fontId="7" fillId="0" borderId="5" xfId="0" applyNumberFormat="1" applyFont="1" applyFill="1" applyBorder="1" applyAlignment="1" applyProtection="1">
      <alignment horizontal="center" vertical="center"/>
    </xf>
    <xf numFmtId="0" fontId="7" fillId="0" borderId="5" xfId="0" applyNumberFormat="1" applyFont="1" applyFill="1" applyBorder="1" applyAlignment="1" applyProtection="1">
      <alignment horizontal="left"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0" borderId="1" xfId="0" applyFill="1" applyBorder="1"/>
    <xf numFmtId="165" fontId="15" fillId="0" borderId="3" xfId="0" applyNumberFormat="1" applyFont="1" applyFill="1" applyBorder="1" applyAlignment="1" applyProtection="1">
      <alignment horizontal="center" vertical="center" textRotation="90"/>
    </xf>
    <xf numFmtId="165" fontId="15" fillId="0" borderId="4" xfId="0" applyNumberFormat="1" applyFont="1" applyFill="1" applyBorder="1" applyAlignment="1" applyProtection="1">
      <alignment horizontal="center" vertical="center" textRotation="90"/>
    </xf>
    <xf numFmtId="0" fontId="16" fillId="0" borderId="2" xfId="0" applyFont="1" applyFill="1" applyBorder="1" applyAlignment="1" applyProtection="1">
      <alignment horizontal="center" vertical="top" wrapText="1"/>
    </xf>
    <xf numFmtId="0" fontId="16" fillId="0" borderId="2" xfId="0" applyFont="1" applyFill="1" applyBorder="1" applyAlignment="1" applyProtection="1">
      <alignment horizontal="left" vertical="top" wrapText="1"/>
    </xf>
    <xf numFmtId="16" fontId="0" fillId="6" borderId="1" xfId="0" applyNumberFormat="1" applyFill="1" applyBorder="1"/>
    <xf numFmtId="0" fontId="0" fillId="6" borderId="1" xfId="0" applyFill="1" applyBorder="1"/>
    <xf numFmtId="16" fontId="0" fillId="7" borderId="1" xfId="0" applyNumberFormat="1" applyFill="1" applyBorder="1"/>
    <xf numFmtId="0" fontId="0" fillId="7" borderId="1" xfId="0" applyFill="1" applyBorder="1"/>
    <xf numFmtId="0" fontId="14" fillId="8" borderId="1" xfId="0" applyFont="1" applyFill="1" applyBorder="1"/>
    <xf numFmtId="165" fontId="11" fillId="3" borderId="11" xfId="0" applyNumberFormat="1" applyFont="1" applyFill="1" applyBorder="1" applyAlignment="1">
      <alignment horizontal="center" vertical="center" textRotation="90"/>
    </xf>
    <xf numFmtId="165" fontId="0" fillId="0" borderId="1" xfId="0" applyNumberFormat="1" applyBorder="1" applyAlignment="1">
      <alignment textRotation="90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0" fillId="3" borderId="0" xfId="0" applyFont="1" applyFill="1" applyBorder="1" applyAlignment="1" applyProtection="1">
      <alignment vertical="center"/>
    </xf>
    <xf numFmtId="0" fontId="19" fillId="0" borderId="0" xfId="0" applyFont="1" applyFill="1" applyAlignment="1" applyProtection="1">
      <alignment horizontal="left" vertical="center"/>
    </xf>
    <xf numFmtId="0" fontId="16" fillId="9" borderId="13" xfId="0" applyFont="1" applyFill="1" applyBorder="1" applyAlignment="1" applyProtection="1">
      <alignment horizontal="left" vertical="top" wrapText="1"/>
    </xf>
    <xf numFmtId="0" fontId="20" fillId="9" borderId="13" xfId="0" applyFont="1" applyFill="1" applyBorder="1" applyAlignment="1" applyProtection="1">
      <alignment vertical="top" wrapText="1"/>
    </xf>
    <xf numFmtId="165" fontId="9" fillId="10" borderId="13" xfId="0" applyNumberFormat="1" applyFont="1" applyFill="1" applyBorder="1" applyAlignment="1" applyProtection="1">
      <alignment vertical="top" wrapText="1"/>
    </xf>
    <xf numFmtId="165" fontId="9" fillId="9" borderId="13" xfId="0" applyNumberFormat="1" applyFont="1" applyFill="1" applyBorder="1" applyAlignment="1" applyProtection="1">
      <alignment vertical="top" wrapText="1"/>
    </xf>
    <xf numFmtId="0" fontId="9" fillId="10" borderId="13" xfId="0" applyNumberFormat="1" applyFont="1" applyFill="1" applyBorder="1" applyAlignment="1" applyProtection="1">
      <alignment horizontal="center" vertical="top" wrapText="1"/>
    </xf>
    <xf numFmtId="165" fontId="7" fillId="9" borderId="13" xfId="0" applyNumberFormat="1" applyFont="1" applyFill="1" applyBorder="1" applyAlignment="1" applyProtection="1">
      <alignment vertical="top" wrapText="1"/>
      <protection locked="0"/>
    </xf>
    <xf numFmtId="0" fontId="17" fillId="9" borderId="13" xfId="0" applyNumberFormat="1" applyFont="1" applyFill="1" applyBorder="1" applyAlignment="1" applyProtection="1">
      <alignment horizontal="center" vertical="center"/>
    </xf>
    <xf numFmtId="166" fontId="7" fillId="9" borderId="13" xfId="0" applyNumberFormat="1" applyFont="1" applyFill="1" applyBorder="1" applyAlignment="1" applyProtection="1">
      <alignment horizontal="center" vertical="top" wrapText="1"/>
      <protection locked="0"/>
    </xf>
    <xf numFmtId="9" fontId="7" fillId="9" borderId="13" xfId="0" applyNumberFormat="1" applyFont="1" applyFill="1" applyBorder="1" applyAlignment="1" applyProtection="1">
      <alignment horizontal="left" vertical="top" wrapText="1"/>
      <protection locked="0"/>
    </xf>
    <xf numFmtId="167" fontId="7" fillId="9" borderId="13" xfId="0" applyNumberFormat="1" applyFont="1" applyFill="1" applyBorder="1" applyAlignment="1" applyProtection="1">
      <alignment vertical="top" wrapText="1"/>
    </xf>
    <xf numFmtId="0" fontId="21" fillId="9" borderId="12" xfId="0" applyFont="1" applyFill="1" applyBorder="1" applyAlignment="1" applyProtection="1">
      <alignment horizontal="left" vertical="top"/>
    </xf>
    <xf numFmtId="0" fontId="0" fillId="3" borderId="0" xfId="0" applyNumberFormat="1" applyFont="1" applyFill="1" applyAlignment="1" applyProtection="1">
      <alignment horizontal="left" vertical="center"/>
    </xf>
    <xf numFmtId="0" fontId="6" fillId="3" borderId="0" xfId="0" applyFont="1" applyFill="1" applyAlignment="1" applyProtection="1">
      <alignment vertical="center"/>
    </xf>
    <xf numFmtId="0" fontId="19" fillId="3" borderId="0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vertical="center"/>
    </xf>
    <xf numFmtId="0" fontId="18" fillId="3" borderId="0" xfId="0" applyFont="1" applyFill="1" applyBorder="1" applyAlignment="1" applyProtection="1">
      <alignment horizontal="right" vertical="center"/>
    </xf>
    <xf numFmtId="0" fontId="18" fillId="3" borderId="0" xfId="0" applyNumberFormat="1" applyFont="1" applyFill="1" applyAlignment="1" applyProtection="1">
      <alignment horizontal="right" vertical="center"/>
    </xf>
    <xf numFmtId="0" fontId="19" fillId="3" borderId="0" xfId="0" applyNumberFormat="1" applyFont="1" applyFill="1" applyAlignment="1" applyProtection="1">
      <alignment horizontal="left" vertical="center"/>
    </xf>
    <xf numFmtId="165" fontId="9" fillId="0" borderId="2" xfId="0" applyNumberFormat="1" applyFont="1" applyFill="1" applyBorder="1" applyAlignment="1" applyProtection="1">
      <alignment vertical="top" wrapText="1"/>
    </xf>
    <xf numFmtId="0" fontId="16" fillId="0" borderId="14" xfId="0" applyFont="1" applyFill="1" applyBorder="1" applyAlignment="1" applyProtection="1">
      <alignment horizontal="center" vertical="top" wrapText="1"/>
    </xf>
    <xf numFmtId="0" fontId="16" fillId="0" borderId="14" xfId="0" applyFont="1" applyFill="1" applyBorder="1" applyAlignment="1" applyProtection="1">
      <alignment horizontal="left" vertical="top" wrapText="1"/>
    </xf>
    <xf numFmtId="0" fontId="16" fillId="0" borderId="14" xfId="0" applyFont="1" applyFill="1" applyBorder="1" applyAlignment="1" applyProtection="1">
      <alignment vertical="top" wrapText="1"/>
    </xf>
    <xf numFmtId="164" fontId="7" fillId="0" borderId="15" xfId="0" applyNumberFormat="1" applyFont="1" applyFill="1" applyBorder="1" applyAlignment="1" applyProtection="1">
      <alignment horizontal="center" vertical="center"/>
    </xf>
    <xf numFmtId="164" fontId="7" fillId="0" borderId="16" xfId="0" applyNumberFormat="1" applyFont="1" applyFill="1" applyBorder="1" applyAlignment="1" applyProtection="1">
      <alignment horizontal="center" vertical="center"/>
    </xf>
    <xf numFmtId="0" fontId="7" fillId="0" borderId="16" xfId="0" applyNumberFormat="1" applyFont="1" applyFill="1" applyBorder="1" applyAlignment="1" applyProtection="1">
      <alignment horizontal="left" vertical="center"/>
    </xf>
    <xf numFmtId="167" fontId="7" fillId="9" borderId="13" xfId="0" applyNumberFormat="1" applyFont="1" applyFill="1" applyBorder="1" applyAlignment="1" applyProtection="1">
      <alignment vertical="top" wrapText="1"/>
      <protection locked="0"/>
    </xf>
    <xf numFmtId="0" fontId="0" fillId="0" borderId="1" xfId="1" applyFont="1" applyBorder="1"/>
    <xf numFmtId="0" fontId="5" fillId="11" borderId="7" xfId="0" applyFont="1" applyFill="1" applyBorder="1" applyAlignment="1" applyProtection="1">
      <alignment horizontal="center" vertical="center" wrapText="1"/>
    </xf>
    <xf numFmtId="0" fontId="5" fillId="11" borderId="10" xfId="0" applyFont="1" applyFill="1" applyBorder="1" applyAlignment="1" applyProtection="1">
      <alignment horizontal="center" vertical="center" wrapText="1"/>
    </xf>
    <xf numFmtId="165" fontId="7" fillId="0" borderId="2" xfId="0" applyNumberFormat="1" applyFont="1" applyFill="1" applyBorder="1" applyAlignment="1" applyProtection="1">
      <alignment vertical="top" wrapText="1"/>
      <protection locked="0"/>
    </xf>
    <xf numFmtId="0" fontId="17" fillId="0" borderId="2" xfId="0" applyNumberFormat="1" applyFont="1" applyFill="1" applyBorder="1" applyAlignment="1" applyProtection="1">
      <alignment horizontal="center" vertical="center"/>
    </xf>
    <xf numFmtId="166" fontId="7" fillId="0" borderId="2" xfId="0" applyNumberFormat="1" applyFont="1" applyFill="1" applyBorder="1" applyAlignment="1" applyProtection="1">
      <alignment horizontal="center" vertical="top" wrapText="1"/>
      <protection locked="0"/>
    </xf>
    <xf numFmtId="9" fontId="7" fillId="0" borderId="2" xfId="0" applyNumberFormat="1" applyFont="1" applyFill="1" applyBorder="1" applyAlignment="1" applyProtection="1">
      <alignment horizontal="left" vertical="top" wrapText="1"/>
      <protection locked="0"/>
    </xf>
    <xf numFmtId="167" fontId="7" fillId="0" borderId="2" xfId="0" applyNumberFormat="1" applyFont="1" applyFill="1" applyBorder="1" applyAlignment="1" applyProtection="1">
      <alignment vertical="top" wrapText="1"/>
    </xf>
    <xf numFmtId="1" fontId="7" fillId="0" borderId="2" xfId="0" applyNumberFormat="1" applyFont="1" applyFill="1" applyBorder="1" applyAlignment="1" applyProtection="1">
      <alignment vertical="top" wrapText="1"/>
      <protection locked="0"/>
    </xf>
    <xf numFmtId="0" fontId="7" fillId="0" borderId="2" xfId="0" applyNumberFormat="1" applyFont="1" applyFill="1" applyBorder="1" applyAlignment="1" applyProtection="1">
      <alignment vertical="top" wrapText="1"/>
      <protection locked="0"/>
    </xf>
    <xf numFmtId="165" fontId="7" fillId="0" borderId="14" xfId="0" applyNumberFormat="1" applyFont="1" applyFill="1" applyBorder="1" applyAlignment="1" applyProtection="1">
      <alignment vertical="top" wrapText="1"/>
      <protection locked="0"/>
    </xf>
    <xf numFmtId="0" fontId="17" fillId="0" borderId="14" xfId="0" applyFont="1" applyFill="1" applyBorder="1" applyAlignment="1" applyProtection="1">
      <alignment horizontal="center" vertical="center"/>
    </xf>
    <xf numFmtId="166" fontId="7" fillId="0" borderId="14" xfId="0" applyNumberFormat="1" applyFont="1" applyFill="1" applyBorder="1" applyAlignment="1" applyProtection="1">
      <alignment horizontal="center" vertical="top" wrapText="1"/>
      <protection locked="0"/>
    </xf>
    <xf numFmtId="9" fontId="7" fillId="0" borderId="14" xfId="0" applyNumberFormat="1" applyFont="1" applyFill="1" applyBorder="1" applyAlignment="1" applyProtection="1">
      <alignment horizontal="left" vertical="top" wrapText="1"/>
      <protection locked="0"/>
    </xf>
    <xf numFmtId="1" fontId="7" fillId="0" borderId="14" xfId="0" applyNumberFormat="1" applyFont="1" applyFill="1" applyBorder="1" applyAlignment="1" applyProtection="1">
      <alignment vertical="top" wrapText="1"/>
    </xf>
    <xf numFmtId="1" fontId="7" fillId="0" borderId="14" xfId="0" applyNumberFormat="1" applyFont="1" applyFill="1" applyBorder="1" applyAlignment="1" applyProtection="1">
      <alignment vertical="top" wrapText="1"/>
      <protection locked="0"/>
    </xf>
    <xf numFmtId="0" fontId="7" fillId="0" borderId="14" xfId="0" applyNumberFormat="1" applyFont="1" applyFill="1" applyBorder="1" applyAlignment="1" applyProtection="1">
      <alignment vertical="top" wrapText="1"/>
      <protection locked="0"/>
    </xf>
    <xf numFmtId="0" fontId="9" fillId="0" borderId="2" xfId="0" applyNumberFormat="1" applyFont="1" applyFill="1" applyBorder="1" applyAlignment="1" applyProtection="1">
      <alignment horizontal="center" vertical="top" wrapText="1"/>
    </xf>
    <xf numFmtId="0" fontId="22" fillId="0" borderId="2" xfId="0" applyNumberFormat="1" applyFont="1" applyFill="1" applyBorder="1" applyAlignment="1" applyProtection="1">
      <alignment horizontal="center" vertical="top" wrapText="1"/>
    </xf>
    <xf numFmtId="165" fontId="9" fillId="0" borderId="14" xfId="0" applyNumberFormat="1" applyFont="1" applyFill="1" applyBorder="1" applyAlignment="1" applyProtection="1">
      <alignment vertical="top" wrapText="1"/>
    </xf>
    <xf numFmtId="0" fontId="9" fillId="0" borderId="14" xfId="0" applyNumberFormat="1" applyFont="1" applyFill="1" applyBorder="1" applyAlignment="1" applyProtection="1">
      <alignment horizontal="center" vertical="top" wrapText="1"/>
    </xf>
    <xf numFmtId="0" fontId="12" fillId="0" borderId="6" xfId="0" applyFont="1" applyFill="1" applyBorder="1" applyAlignment="1" applyProtection="1">
      <alignment horizontal="center" vertical="center"/>
    </xf>
    <xf numFmtId="0" fontId="5" fillId="12" borderId="7" xfId="0" applyFont="1" applyFill="1" applyBorder="1" applyAlignment="1" applyProtection="1">
      <alignment horizontal="center" vertical="center" wrapText="1"/>
    </xf>
    <xf numFmtId="0" fontId="5" fillId="13" borderId="7" xfId="0" applyFont="1" applyFill="1" applyBorder="1" applyAlignment="1" applyProtection="1">
      <alignment horizontal="center" vertical="center" wrapText="1"/>
    </xf>
    <xf numFmtId="0" fontId="0" fillId="0" borderId="0" xfId="0" pivotButton="1"/>
    <xf numFmtId="9" fontId="7" fillId="0" borderId="2" xfId="0" applyNumberFormat="1" applyFont="1" applyFill="1" applyBorder="1" applyAlignment="1" applyProtection="1">
      <alignment horizontal="center" vertical="top" wrapText="1"/>
      <protection locked="0"/>
    </xf>
    <xf numFmtId="1" fontId="7" fillId="0" borderId="2" xfId="0" applyNumberFormat="1" applyFont="1" applyFill="1" applyBorder="1" applyAlignment="1" applyProtection="1">
      <alignment horizontal="center" vertical="top" wrapText="1"/>
      <protection locked="0"/>
    </xf>
    <xf numFmtId="0" fontId="16" fillId="9" borderId="13" xfId="0" applyFont="1" applyFill="1" applyBorder="1" applyAlignment="1" applyProtection="1">
      <alignment horizontal="center" vertical="top" wrapText="1"/>
    </xf>
    <xf numFmtId="0" fontId="16" fillId="0" borderId="2" xfId="0" applyNumberFormat="1" applyFont="1" applyFill="1" applyBorder="1" applyAlignment="1" applyProtection="1">
      <alignment horizontal="left" vertical="top" wrapText="1" indent="1"/>
    </xf>
    <xf numFmtId="0" fontId="0" fillId="0" borderId="0" xfId="0" applyAlignment="1">
      <alignment horizontal="center"/>
    </xf>
    <xf numFmtId="14" fontId="0" fillId="0" borderId="0" xfId="0" applyNumberFormat="1"/>
    <xf numFmtId="0" fontId="16" fillId="9" borderId="13" xfId="0" applyNumberFormat="1" applyFont="1" applyFill="1" applyBorder="1" applyAlignment="1" applyProtection="1">
      <alignment horizontal="left" vertical="top" wrapText="1"/>
    </xf>
    <xf numFmtId="0" fontId="16" fillId="0" borderId="2" xfId="0" quotePrefix="1" applyNumberFormat="1" applyFont="1" applyFill="1" applyBorder="1" applyAlignment="1" applyProtection="1">
      <alignment horizontal="left" vertical="top" wrapText="1"/>
    </xf>
    <xf numFmtId="0" fontId="7" fillId="0" borderId="2" xfId="0" applyNumberFormat="1" applyFont="1" applyFill="1" applyBorder="1" applyAlignment="1" applyProtection="1">
      <alignment horizontal="left" vertical="top" wrapText="1"/>
      <protection locked="0"/>
    </xf>
    <xf numFmtId="0" fontId="16" fillId="0" borderId="0" xfId="0" applyFont="1" applyFill="1" applyBorder="1" applyAlignment="1" applyProtection="1">
      <alignment vertical="top" wrapText="1"/>
    </xf>
    <xf numFmtId="0" fontId="7" fillId="0" borderId="0" xfId="0" applyNumberFormat="1" applyFont="1" applyFill="1" applyBorder="1" applyAlignment="1" applyProtection="1">
      <alignment horizontal="left" vertical="center"/>
    </xf>
    <xf numFmtId="0" fontId="16" fillId="0" borderId="0" xfId="0" applyFont="1" applyFill="1" applyBorder="1" applyAlignment="1" applyProtection="1">
      <alignment horizontal="left" vertical="top" wrapText="1"/>
    </xf>
    <xf numFmtId="0" fontId="16" fillId="0" borderId="0" xfId="0" quotePrefix="1" applyFont="1" applyFill="1" applyBorder="1" applyAlignment="1" applyProtection="1">
      <alignment vertical="top" wrapText="1"/>
    </xf>
    <xf numFmtId="0" fontId="16" fillId="0" borderId="18" xfId="0" applyFont="1" applyFill="1" applyBorder="1" applyAlignment="1" applyProtection="1">
      <alignment vertical="top" wrapText="1"/>
    </xf>
    <xf numFmtId="0" fontId="16" fillId="0" borderId="17" xfId="0" applyFont="1" applyFill="1" applyBorder="1" applyAlignment="1" applyProtection="1">
      <alignment horizontal="left" vertical="top" wrapText="1"/>
    </xf>
    <xf numFmtId="0" fontId="16" fillId="0" borderId="19" xfId="0" applyFont="1" applyFill="1" applyBorder="1" applyAlignment="1" applyProtection="1">
      <alignment horizontal="left" vertical="top" wrapText="1"/>
    </xf>
    <xf numFmtId="0" fontId="4" fillId="0" borderId="0" xfId="0" applyFont="1" applyFill="1" applyBorder="1" applyAlignment="1" applyProtection="1">
      <alignment horizontal="left" vertical="center"/>
    </xf>
    <xf numFmtId="0" fontId="14" fillId="12" borderId="6" xfId="0" applyFont="1" applyFill="1" applyBorder="1" applyAlignment="1" applyProtection="1">
      <alignment horizontal="center" vertical="center"/>
    </xf>
    <xf numFmtId="0" fontId="14" fillId="13" borderId="6" xfId="0" applyFont="1" applyFill="1" applyBorder="1" applyAlignment="1" applyProtection="1">
      <alignment horizontal="center" vertical="center"/>
    </xf>
  </cellXfs>
  <cellStyles count="4">
    <cellStyle name="Normal" xfId="0" builtinId="0"/>
    <cellStyle name="Normal 2" xfId="3"/>
    <cellStyle name="Normal 23" xfId="2"/>
    <cellStyle name="Normal 3" xfId="1"/>
  </cellStyles>
  <dxfs count="343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colors>
    <mruColors>
      <color rgb="FFFF4F4F"/>
      <color rgb="FFFB051C"/>
      <color rgb="FFE4E4E4"/>
      <color rgb="FFFF7C80"/>
      <color rgb="FFFF9966"/>
      <color rgb="FFFFFFCC"/>
      <color rgb="FFFFD1D1"/>
      <color rgb="FFFFCC99"/>
      <color rgb="FFFFA7A7"/>
      <color rgb="FFC5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>
                <a:solidFill>
                  <a:schemeClr val="tx2">
                    <a:lumMod val="60000"/>
                    <a:lumOff val="40000"/>
                  </a:schemeClr>
                </a:solidFill>
              </a:rPr>
              <a:t>Amount of Tasks Planned</a:t>
            </a:r>
            <a:r>
              <a:rPr lang="en-US"/>
              <a:t> vs </a:t>
            </a:r>
            <a:r>
              <a:rPr lang="en-US">
                <a:solidFill>
                  <a:srgbClr val="C00000"/>
                </a:solidFill>
              </a:rPr>
              <a:t>Actual</a:t>
            </a:r>
          </a:p>
        </c:rich>
      </c:tx>
      <c:layout>
        <c:manualLayout>
          <c:xMode val="edge"/>
          <c:yMode val="edge"/>
          <c:x val="0.11924217306430546"/>
          <c:y val="2.65779403837147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Chart!$A$5</c:f>
              <c:strCache>
                <c:ptCount val="1"/>
                <c:pt idx="0">
                  <c:v>Planned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Chart!$B$5:$CV$5</c:f>
              <c:numCache>
                <c:formatCode>General</c:formatCode>
                <c:ptCount val="9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7</c:v>
                </c:pt>
                <c:pt idx="15">
                  <c:v>11</c:v>
                </c:pt>
                <c:pt idx="16">
                  <c:v>11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Chart!$A$6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Chart!$B$6:$CV$6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96802432"/>
        <c:axId val="196803968"/>
      </c:lineChart>
      <c:catAx>
        <c:axId val="196802432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96803968"/>
        <c:crosses val="autoZero"/>
        <c:auto val="0"/>
        <c:lblAlgn val="ctr"/>
        <c:lblOffset val="100"/>
        <c:tickLblSkip val="1"/>
        <c:noMultiLvlLbl val="0"/>
      </c:catAx>
      <c:valAx>
        <c:axId val="196803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Amount of task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96802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3.2865975256838015E-2"/>
          <c:y val="5.6682449577523724E-3"/>
          <c:w val="4.7855827124252293E-2"/>
          <c:h val="0.16020299788107903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Chart!$A$24</c:f>
              <c:strCache>
                <c:ptCount val="1"/>
                <c:pt idx="0">
                  <c:v>Planned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Chart!$B$24:$CV$24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Chart!$A$25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cat>
            <c:numRef>
              <c:f>Chart!$B$2:$CV$2</c:f>
              <c:numCache>
                <c:formatCode>[$-409]d\-mmm;@</c:formatCode>
                <c:ptCount val="99"/>
                <c:pt idx="0">
                  <c:v>43108</c:v>
                </c:pt>
                <c:pt idx="1">
                  <c:v>43109</c:v>
                </c:pt>
                <c:pt idx="2">
                  <c:v>43110</c:v>
                </c:pt>
                <c:pt idx="3">
                  <c:v>43111</c:v>
                </c:pt>
                <c:pt idx="4">
                  <c:v>43112</c:v>
                </c:pt>
                <c:pt idx="5">
                  <c:v>43115</c:v>
                </c:pt>
                <c:pt idx="6">
                  <c:v>43116</c:v>
                </c:pt>
                <c:pt idx="7">
                  <c:v>43117</c:v>
                </c:pt>
                <c:pt idx="8">
                  <c:v>43118</c:v>
                </c:pt>
                <c:pt idx="9">
                  <c:v>43119</c:v>
                </c:pt>
                <c:pt idx="10">
                  <c:v>43122</c:v>
                </c:pt>
                <c:pt idx="11">
                  <c:v>43123</c:v>
                </c:pt>
                <c:pt idx="12">
                  <c:v>43124</c:v>
                </c:pt>
                <c:pt idx="13">
                  <c:v>43125</c:v>
                </c:pt>
                <c:pt idx="14">
                  <c:v>43126</c:v>
                </c:pt>
                <c:pt idx="15">
                  <c:v>43129</c:v>
                </c:pt>
                <c:pt idx="16">
                  <c:v>43130</c:v>
                </c:pt>
                <c:pt idx="17">
                  <c:v>43131</c:v>
                </c:pt>
                <c:pt idx="18">
                  <c:v>43132</c:v>
                </c:pt>
                <c:pt idx="19">
                  <c:v>43133</c:v>
                </c:pt>
                <c:pt idx="20">
                  <c:v>43136</c:v>
                </c:pt>
                <c:pt idx="21">
                  <c:v>43137</c:v>
                </c:pt>
                <c:pt idx="22">
                  <c:v>43138</c:v>
                </c:pt>
                <c:pt idx="23">
                  <c:v>43139</c:v>
                </c:pt>
                <c:pt idx="24">
                  <c:v>43140</c:v>
                </c:pt>
                <c:pt idx="25">
                  <c:v>43143</c:v>
                </c:pt>
                <c:pt idx="26">
                  <c:v>43144</c:v>
                </c:pt>
                <c:pt idx="27">
                  <c:v>43145</c:v>
                </c:pt>
                <c:pt idx="28">
                  <c:v>43146</c:v>
                </c:pt>
                <c:pt idx="29">
                  <c:v>43147</c:v>
                </c:pt>
                <c:pt idx="30">
                  <c:v>43150</c:v>
                </c:pt>
                <c:pt idx="31">
                  <c:v>43151</c:v>
                </c:pt>
                <c:pt idx="32">
                  <c:v>43152</c:v>
                </c:pt>
                <c:pt idx="33">
                  <c:v>43153</c:v>
                </c:pt>
                <c:pt idx="34">
                  <c:v>43154</c:v>
                </c:pt>
                <c:pt idx="35">
                  <c:v>43157</c:v>
                </c:pt>
                <c:pt idx="36">
                  <c:v>43158</c:v>
                </c:pt>
                <c:pt idx="37">
                  <c:v>43159</c:v>
                </c:pt>
                <c:pt idx="38">
                  <c:v>43160</c:v>
                </c:pt>
                <c:pt idx="39">
                  <c:v>43161</c:v>
                </c:pt>
                <c:pt idx="40">
                  <c:v>43164</c:v>
                </c:pt>
                <c:pt idx="41">
                  <c:v>43165</c:v>
                </c:pt>
                <c:pt idx="42">
                  <c:v>43166</c:v>
                </c:pt>
                <c:pt idx="43">
                  <c:v>43167</c:v>
                </c:pt>
                <c:pt idx="44">
                  <c:v>43168</c:v>
                </c:pt>
                <c:pt idx="45">
                  <c:v>43171</c:v>
                </c:pt>
                <c:pt idx="46">
                  <c:v>43172</c:v>
                </c:pt>
                <c:pt idx="47">
                  <c:v>43173</c:v>
                </c:pt>
                <c:pt idx="48">
                  <c:v>43174</c:v>
                </c:pt>
                <c:pt idx="49">
                  <c:v>43175</c:v>
                </c:pt>
                <c:pt idx="50">
                  <c:v>43178</c:v>
                </c:pt>
                <c:pt idx="51">
                  <c:v>43179</c:v>
                </c:pt>
                <c:pt idx="52">
                  <c:v>43180</c:v>
                </c:pt>
                <c:pt idx="53">
                  <c:v>43181</c:v>
                </c:pt>
                <c:pt idx="54">
                  <c:v>43182</c:v>
                </c:pt>
                <c:pt idx="55">
                  <c:v>43185</c:v>
                </c:pt>
                <c:pt idx="56">
                  <c:v>43186</c:v>
                </c:pt>
                <c:pt idx="57">
                  <c:v>43187</c:v>
                </c:pt>
                <c:pt idx="58">
                  <c:v>43188</c:v>
                </c:pt>
                <c:pt idx="59">
                  <c:v>43189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43199</c:v>
                </c:pt>
                <c:pt idx="66">
                  <c:v>43200</c:v>
                </c:pt>
                <c:pt idx="67">
                  <c:v>43201</c:v>
                </c:pt>
                <c:pt idx="68">
                  <c:v>43202</c:v>
                </c:pt>
                <c:pt idx="69">
                  <c:v>43203</c:v>
                </c:pt>
                <c:pt idx="70">
                  <c:v>43206</c:v>
                </c:pt>
                <c:pt idx="71">
                  <c:v>43207</c:v>
                </c:pt>
                <c:pt idx="72">
                  <c:v>43208</c:v>
                </c:pt>
                <c:pt idx="73">
                  <c:v>43209</c:v>
                </c:pt>
                <c:pt idx="74">
                  <c:v>43210</c:v>
                </c:pt>
                <c:pt idx="75">
                  <c:v>43213</c:v>
                </c:pt>
                <c:pt idx="76">
                  <c:v>43214</c:v>
                </c:pt>
                <c:pt idx="77">
                  <c:v>43215</c:v>
                </c:pt>
                <c:pt idx="78">
                  <c:v>43216</c:v>
                </c:pt>
                <c:pt idx="79">
                  <c:v>43217</c:v>
                </c:pt>
                <c:pt idx="80">
                  <c:v>43220</c:v>
                </c:pt>
                <c:pt idx="81">
                  <c:v>43221</c:v>
                </c:pt>
                <c:pt idx="82">
                  <c:v>43222</c:v>
                </c:pt>
                <c:pt idx="83">
                  <c:v>43223</c:v>
                </c:pt>
                <c:pt idx="84">
                  <c:v>43224</c:v>
                </c:pt>
                <c:pt idx="85">
                  <c:v>43227</c:v>
                </c:pt>
                <c:pt idx="86">
                  <c:v>43228</c:v>
                </c:pt>
                <c:pt idx="87">
                  <c:v>43229</c:v>
                </c:pt>
                <c:pt idx="88">
                  <c:v>43230</c:v>
                </c:pt>
                <c:pt idx="89">
                  <c:v>43231</c:v>
                </c:pt>
                <c:pt idx="90">
                  <c:v>43234</c:v>
                </c:pt>
                <c:pt idx="91">
                  <c:v>43235</c:v>
                </c:pt>
                <c:pt idx="92">
                  <c:v>43236</c:v>
                </c:pt>
                <c:pt idx="93">
                  <c:v>43237</c:v>
                </c:pt>
                <c:pt idx="94">
                  <c:v>43238</c:v>
                </c:pt>
                <c:pt idx="95">
                  <c:v>43241</c:v>
                </c:pt>
                <c:pt idx="96">
                  <c:v>43242</c:v>
                </c:pt>
                <c:pt idx="97">
                  <c:v>43243</c:v>
                </c:pt>
                <c:pt idx="98">
                  <c:v>43244</c:v>
                </c:pt>
              </c:numCache>
            </c:numRef>
          </c:cat>
          <c:val>
            <c:numRef>
              <c:f>Chart!$B$25:$CV$25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96838144"/>
        <c:axId val="196840064"/>
      </c:lineChart>
      <c:catAx>
        <c:axId val="196838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[$-409]d\-mmm;@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96840064"/>
        <c:crosses val="autoZero"/>
        <c:auto val="0"/>
        <c:lblAlgn val="ctr"/>
        <c:lblOffset val="100"/>
        <c:tickLblSkip val="1"/>
        <c:noMultiLvlLbl val="0"/>
      </c:catAx>
      <c:valAx>
        <c:axId val="196840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Amount of task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96838144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[ProgressManagement_DN_Training_Component_Test.xlsm]Chart!PivotTable1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Chart!$B$44:$B$46</c:f>
              <c:strCache>
                <c:ptCount val="1"/>
                <c:pt idx="0">
                  <c:v>Task - Very 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Chart!$A$47:$A$53</c:f>
              <c:strCache>
                <c:ptCount val="6"/>
                <c:pt idx="0">
                  <c:v>Takeda</c:v>
                </c:pt>
                <c:pt idx="1">
                  <c:v>ThinhNH</c:v>
                </c:pt>
                <c:pt idx="2">
                  <c:v>Tosaka</c:v>
                </c:pt>
                <c:pt idx="3">
                  <c:v>Nieda</c:v>
                </c:pt>
                <c:pt idx="4">
                  <c:v>TinHD</c:v>
                </c:pt>
                <c:pt idx="5">
                  <c:v>KhoaMD</c:v>
                </c:pt>
              </c:strCache>
            </c:strRef>
          </c:cat>
          <c:val>
            <c:numRef>
              <c:f>Chart!$B$47:$B$53</c:f>
              <c:numCache>
                <c:formatCode>General</c:formatCode>
                <c:ptCount val="6"/>
                <c:pt idx="0">
                  <c:v>14</c:v>
                </c:pt>
                <c:pt idx="1">
                  <c:v>8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10</c:v>
                </c:pt>
              </c:numCache>
            </c:numRef>
          </c:val>
        </c:ser>
        <c:ser>
          <c:idx val="1"/>
          <c:order val="1"/>
          <c:tx>
            <c:strRef>
              <c:f>Chart!$C$44:$C$46</c:f>
              <c:strCache>
                <c:ptCount val="1"/>
                <c:pt idx="0">
                  <c:v>Finish - Very 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Chart!$A$47:$A$53</c:f>
              <c:strCache>
                <c:ptCount val="6"/>
                <c:pt idx="0">
                  <c:v>Takeda</c:v>
                </c:pt>
                <c:pt idx="1">
                  <c:v>ThinhNH</c:v>
                </c:pt>
                <c:pt idx="2">
                  <c:v>Tosaka</c:v>
                </c:pt>
                <c:pt idx="3">
                  <c:v>Nieda</c:v>
                </c:pt>
                <c:pt idx="4">
                  <c:v>TinHD</c:v>
                </c:pt>
                <c:pt idx="5">
                  <c:v>KhoaMD</c:v>
                </c:pt>
              </c:strCache>
            </c:strRef>
          </c:cat>
          <c:val>
            <c:numRef>
              <c:f>Chart!$C$47:$C$53</c:f>
              <c:numCache>
                <c:formatCode>General</c:formatCode>
                <c:ptCount val="6"/>
                <c:pt idx="0">
                  <c:v>7</c:v>
                </c:pt>
                <c:pt idx="1">
                  <c:v>8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13460480"/>
        <c:axId val="213462016"/>
      </c:barChart>
      <c:catAx>
        <c:axId val="2134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2016"/>
        <c:crosses val="autoZero"/>
        <c:auto val="1"/>
        <c:lblAlgn val="ctr"/>
        <c:lblOffset val="100"/>
        <c:noMultiLvlLbl val="0"/>
      </c:catAx>
      <c:valAx>
        <c:axId val="2134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[ProgressManagement_DN_Training_Component_Test.xlsm]Chart!PivotTable2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Chart!$B$68</c:f>
              <c:strCache>
                <c:ptCount val="1"/>
                <c:pt idx="0">
                  <c:v>Task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Chart!$A$69:$A$74</c:f>
              <c:strCache>
                <c:ptCount val="5"/>
                <c:pt idx="0">
                  <c:v>(blank)</c:v>
                </c:pt>
                <c:pt idx="1">
                  <c:v>Very High</c:v>
                </c:pt>
                <c:pt idx="2">
                  <c:v>High</c:v>
                </c:pt>
                <c:pt idx="3">
                  <c:v>Medium</c:v>
                </c:pt>
                <c:pt idx="4">
                  <c:v>Low</c:v>
                </c:pt>
              </c:strCache>
            </c:strRef>
          </c:cat>
          <c:val>
            <c:numRef>
              <c:f>Chart!$B$69:$B$74</c:f>
              <c:numCache>
                <c:formatCode>General</c:formatCode>
                <c:ptCount val="5"/>
                <c:pt idx="1">
                  <c:v>29</c:v>
                </c:pt>
                <c:pt idx="2">
                  <c:v>14</c:v>
                </c:pt>
                <c:pt idx="3">
                  <c:v>5</c:v>
                </c:pt>
                <c:pt idx="4">
                  <c:v>8</c:v>
                </c:pt>
              </c:numCache>
            </c:numRef>
          </c:val>
        </c:ser>
        <c:ser>
          <c:idx val="1"/>
          <c:order val="1"/>
          <c:tx>
            <c:strRef>
              <c:f>Chart!$C$68</c:f>
              <c:strCache>
                <c:ptCount val="1"/>
                <c:pt idx="0">
                  <c:v>Finish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Chart!$A$69:$A$74</c:f>
              <c:strCache>
                <c:ptCount val="5"/>
                <c:pt idx="0">
                  <c:v>(blank)</c:v>
                </c:pt>
                <c:pt idx="1">
                  <c:v>Very High</c:v>
                </c:pt>
                <c:pt idx="2">
                  <c:v>High</c:v>
                </c:pt>
                <c:pt idx="3">
                  <c:v>Medium</c:v>
                </c:pt>
                <c:pt idx="4">
                  <c:v>Low</c:v>
                </c:pt>
              </c:strCache>
            </c:strRef>
          </c:cat>
          <c:val>
            <c:numRef>
              <c:f>Chart!$C$69:$C$74</c:f>
              <c:numCache>
                <c:formatCode>General</c:formatCode>
                <c:ptCount val="5"/>
                <c:pt idx="0">
                  <c:v>4</c:v>
                </c:pt>
                <c:pt idx="1">
                  <c:v>16</c:v>
                </c:pt>
                <c:pt idx="2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13561728"/>
        <c:axId val="213563264"/>
      </c:barChart>
      <c:catAx>
        <c:axId val="2135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63264"/>
        <c:crosses val="autoZero"/>
        <c:auto val="1"/>
        <c:lblAlgn val="ctr"/>
        <c:lblOffset val="100"/>
        <c:noMultiLvlLbl val="0"/>
      </c:catAx>
      <c:valAx>
        <c:axId val="21356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6</xdr:row>
      <xdr:rowOff>57150</xdr:rowOff>
    </xdr:from>
    <xdr:to>
      <xdr:col>101</xdr:col>
      <xdr:colOff>600074</xdr:colOff>
      <xdr:row>21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352426</xdr:colOff>
      <xdr:row>25</xdr:row>
      <xdr:rowOff>85725</xdr:rowOff>
    </xdr:from>
    <xdr:to>
      <xdr:col>100</xdr:col>
      <xdr:colOff>142876</xdr:colOff>
      <xdr:row>40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180974</xdr:colOff>
      <xdr:row>43</xdr:row>
      <xdr:rowOff>14286</xdr:rowOff>
    </xdr:from>
    <xdr:to>
      <xdr:col>48</xdr:col>
      <xdr:colOff>38100</xdr:colOff>
      <xdr:row>60</xdr:row>
      <xdr:rowOff>19049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600075</xdr:colOff>
      <xdr:row>61</xdr:row>
      <xdr:rowOff>100012</xdr:rowOff>
    </xdr:from>
    <xdr:to>
      <xdr:col>44</xdr:col>
      <xdr:colOff>323850</xdr:colOff>
      <xdr:row>75</xdr:row>
      <xdr:rowOff>176212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0</xdr:row>
      <xdr:rowOff>47625</xdr:rowOff>
    </xdr:from>
    <xdr:to>
      <xdr:col>2</xdr:col>
      <xdr:colOff>447675</xdr:colOff>
      <xdr:row>2</xdr:row>
      <xdr:rowOff>76200</xdr:rowOff>
    </xdr:to>
    <xdr:sp macro="" textlink="">
      <xdr:nvSpPr>
        <xdr:cNvPr id="13" name="Text Box 2"/>
        <xdr:cNvSpPr txBox="1">
          <a:spLocks noChangeArrowheads="1"/>
        </xdr:cNvSpPr>
      </xdr:nvSpPr>
      <xdr:spPr bwMode="auto">
        <a:xfrm>
          <a:off x="38100" y="47625"/>
          <a:ext cx="2371725" cy="685800"/>
        </a:xfrm>
        <a:prstGeom prst="rect">
          <a:avLst/>
        </a:prstGeom>
        <a:solidFill>
          <a:srgbClr val="FFFFFF"/>
        </a:solidFill>
        <a:ln w="12700">
          <a:solidFill>
            <a:srgbClr val="FF0000"/>
          </a:solidFill>
          <a:miter lim="800000"/>
          <a:headEnd/>
          <a:tailEnd/>
        </a:ln>
      </xdr:spPr>
      <xdr:txBody>
        <a:bodyPr wrap="square" lIns="91440" tIns="45720" rIns="91440" bIns="45720" anchor="t" upright="1"/>
        <a:lstStyle/>
        <a:p>
          <a:pPr marL="0" marR="0" algn="l" rtl="1">
            <a:spcBef>
              <a:spcPts val="0"/>
            </a:spcBef>
            <a:spcAft>
              <a:spcPts val="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Information Type: Restricted</a:t>
          </a:r>
        </a:p>
        <a:p>
          <a:pPr marL="0" marR="0" algn="l" rtl="1">
            <a:spcBef>
              <a:spcPts val="0"/>
            </a:spcBef>
            <a:spcAft>
              <a:spcPts val="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Company: NTT DATA VIET NAM</a:t>
          </a:r>
          <a:endParaRPr lang="en-US" sz="1200">
            <a:effectLst/>
            <a:latin typeface="Times New Roman" panose="02020603050405020304" pitchFamily="18" charset="0"/>
            <a:ea typeface="ＭＳ 明朝"/>
          </a:endParaRPr>
        </a:p>
        <a:p>
          <a:pPr marL="0" marR="0" algn="l" rtl="1">
            <a:spcBef>
              <a:spcPts val="0"/>
            </a:spcBef>
            <a:spcAft>
              <a:spcPts val="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Information Owner: </a:t>
          </a:r>
          <a:r>
            <a:rPr lang="en-US" altLang="ja-JP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LSERIES</a:t>
          </a:r>
          <a:r>
            <a:rPr lang="ja-JP" altLang="en-US" sz="1100" baseline="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 </a:t>
          </a: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ＭＳ 明朝"/>
              <a:cs typeface="Calibri" panose="020F0502020204030204" pitchFamily="34" charset="0"/>
            </a:rPr>
            <a:t>Team</a:t>
          </a:r>
          <a:endParaRPr lang="en-US" sz="1200">
            <a:effectLst/>
            <a:latin typeface="Times New Roman" panose="02020603050405020304" pitchFamily="18" charset="0"/>
            <a:ea typeface="ＭＳ 明朝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inh Nguyen Hoang" refreshedDate="42828.696249074077" createdVersion="5" refreshedVersion="5" minRefreshableVersion="3" recordCount="311">
  <cacheSource type="worksheet">
    <worksheetSource ref="B2:R130" sheet="Daily Track"/>
  </cacheSource>
  <cacheFields count="16">
    <cacheField name="Ref" numFmtId="0">
      <sharedItems containsBlank="1"/>
    </cacheField>
    <cacheField name="WBS.No" numFmtId="0">
      <sharedItems containsBlank="1" containsMixedTypes="1" containsNumber="1" minValue="1.1000000000000001" maxValue="2.9"/>
    </cacheField>
    <cacheField name="ID" numFmtId="0">
      <sharedItems containsNonDate="0" containsString="0" containsBlank="1"/>
    </cacheField>
    <cacheField name="Task Name" numFmtId="0">
      <sharedItems containsBlank="1"/>
    </cacheField>
    <cacheField name="PIC" numFmtId="0">
      <sharedItems containsBlank="1"/>
    </cacheField>
    <cacheField name="Start" numFmtId="165">
      <sharedItems containsNonDate="0" containsDate="1" containsString="0" containsBlank="1" minDate="2017-03-29T00:00:00" maxDate="2017-04-15T00:00:00"/>
    </cacheField>
    <cacheField name="End" numFmtId="165">
      <sharedItems containsNonDate="0" containsDate="1" containsString="0" containsBlank="1" minDate="2017-03-29T00:00:00" maxDate="2017-04-15T00:00:00" count="12">
        <m/>
        <d v="2017-04-05T00:00:00"/>
        <d v="2017-04-10T00:00:00"/>
        <d v="2017-04-04T00:00:00"/>
        <d v="2017-03-30T00:00:00"/>
        <d v="2017-04-02T00:00:00"/>
        <d v="2017-04-03T00:00:00"/>
        <d v="2017-03-29T00:00:00"/>
        <d v="2017-03-31T00:00:00"/>
        <d v="2017-04-13T00:00:00"/>
        <d v="2017-04-14T00:00:00"/>
        <d v="2017-04-11T00:00:00"/>
      </sharedItems>
    </cacheField>
    <cacheField name="Duration" numFmtId="0">
      <sharedItems containsNonDate="0" containsString="0" containsBlank="1"/>
    </cacheField>
    <cacheField name="LE" numFmtId="0">
      <sharedItems containsNonDate="0" containsString="0" containsBlank="1"/>
    </cacheField>
    <cacheField name="Start " numFmtId="165">
      <sharedItems containsNonDate="0" containsDate="1" containsString="0" containsBlank="1" minDate="2017-03-29T00:00:00" maxDate="2017-04-04T00:00:00"/>
    </cacheField>
    <cacheField name="End " numFmtId="165">
      <sharedItems containsNonDate="0" containsDate="1" containsString="0" containsBlank="1" minDate="2017-03-29T00:00:00" maxDate="2017-04-04T00:00:00"/>
    </cacheField>
    <cacheField name="Duration2" numFmtId="0">
      <sharedItems containsNonDate="0" containsString="0" containsBlank="1"/>
    </cacheField>
    <cacheField name="Status" numFmtId="166">
      <sharedItems containsBlank="1"/>
    </cacheField>
    <cacheField name="%" numFmtId="9">
      <sharedItems containsString="0" containsBlank="1" containsNumber="1" minValue="0.4" maxValue="1"/>
    </cacheField>
    <cacheField name="Difficulty" numFmtId="9">
      <sharedItems containsNonDate="0" containsString="0" containsBlank="1"/>
    </cacheField>
    <cacheField name="Priority" numFmtId="9">
      <sharedItems containsBlank="1" count="5">
        <m/>
        <s v="Low"/>
        <s v="Medium"/>
        <s v="Very High"/>
        <s v="Hig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inh Nguyen Hoang" refreshedDate="42829.353703703702" createdVersion="5" refreshedVersion="5" minRefreshableVersion="3" recordCount="315">
  <cacheSource type="worksheet">
    <worksheetSource ref="C2:R130" sheet="Daily Track"/>
  </cacheSource>
  <cacheFields count="15">
    <cacheField name="WBS.No" numFmtId="0">
      <sharedItems containsBlank="1" containsMixedTypes="1" containsNumber="1" minValue="1.1000000000000001" maxValue="4.2" count="265">
        <m/>
        <n v="1.1000000000000001"/>
        <s v="1.1.1"/>
        <s v="1.1.2"/>
        <n v="1.2"/>
        <s v="1.2.1"/>
        <s v="1.2.2"/>
        <n v="1.3"/>
        <s v="1.3.1"/>
        <s v="1.3.2"/>
        <s v="1.3.3"/>
        <s v="1.3.4"/>
        <s v="1.3.5"/>
        <n v="1.4"/>
        <s v="1.4.1"/>
        <s v="1.4.2"/>
        <n v="1.5"/>
        <s v="1.5.1"/>
        <s v="1.5.2"/>
        <s v="1.5.3"/>
        <s v="1.5.4"/>
        <n v="1.6"/>
        <s v="1.6.1"/>
        <s v="1.6.2"/>
        <s v="1.6.4"/>
        <s v="1.7"/>
        <s v="1.7.1"/>
        <s v="1.7.2"/>
        <s v="1.7.3"/>
        <s v="1.7.4"/>
        <s v="1.8"/>
        <s v="1.8.1"/>
        <s v="1.8.2"/>
        <s v="1.8.3"/>
        <s v="1.8.4"/>
        <s v="1.9"/>
        <s v="1.9.1"/>
        <s v="1.9.1.4"/>
        <s v="1.9.1.5"/>
        <s v="1.9.1.6"/>
        <s v="1.9.2"/>
        <s v="1.9.2.4"/>
        <s v="1.9.2.5"/>
        <s v="1.9.2.6"/>
        <s v="1.9.3"/>
        <s v="1.9.3.4"/>
        <s v="1.9.3.5"/>
        <s v="1.9.3.6"/>
        <s v="1.9.3.7"/>
        <s v="1.9.3.8"/>
        <s v="1.9.4"/>
        <s v="1.9.4.4"/>
        <s v="1.9.4.5"/>
        <s v="1.9.5"/>
        <s v="1.9.6.4"/>
        <s v="1.9.6.5"/>
        <s v="1.9.6.6"/>
        <s v="1.9.6"/>
        <s v="1.9.6.8"/>
        <s v="1.9.6.9"/>
        <s v="1.9.6.10"/>
        <s v="1.9.7"/>
        <s v="1.9.7.8"/>
        <s v="1.9.7.9"/>
        <s v="1.9.7.10"/>
        <s v="1.9.7.11"/>
        <s v="1.9.8"/>
        <s v="1.9.8.8"/>
        <s v="1.9.8.9"/>
        <s v="1.9.9"/>
        <s v="1.9.9.8"/>
        <s v="1.9.9.9"/>
        <s v="1.9.9.10"/>
        <s v="1.9.9.11"/>
        <s v="1.9.9.12"/>
        <s v="1.9.9.13"/>
        <s v="1.9.9.14"/>
        <s v="1.9.10"/>
        <s v="1.9.10.8"/>
        <s v="1.9.10.9"/>
        <s v="1.9.10.10"/>
        <s v="1.9.10.11"/>
        <s v="1.9.10.12"/>
        <s v="1.9.10.13"/>
        <s v="1.9.11"/>
        <s v="1.9.11.8"/>
        <s v="1.9.11.9"/>
        <s v="1.9.11.10"/>
        <s v="1.9.11.11"/>
        <s v="1.9.12"/>
        <s v="1.9.12.8"/>
        <s v="1.9.12.9"/>
        <s v="1.9.12.10"/>
        <s v="1.9.12.11"/>
        <s v="1.9.13"/>
        <s v="1.9.13.1"/>
        <s v="1.9.13.2"/>
        <s v="1.9.13.3"/>
        <s v="1.9.13.4"/>
        <s v="1.9.14"/>
        <s v="1.9.13.6"/>
        <s v="1.9.13.7"/>
        <s v="1.9.13.8"/>
        <s v="1.9.13.9"/>
        <s v="1.9.15"/>
        <s v="1.9.15.1"/>
        <s v="1.9.15.2"/>
        <s v="1.9.16"/>
        <s v="1.9.16.1"/>
        <s v="1.9.16.2"/>
        <s v="1.9.16.3"/>
        <s v="1.9.16.4"/>
        <s v="1.9.17"/>
        <s v="1.9.17.1"/>
        <s v="1.9.17.2"/>
        <s v="1.9.17.3"/>
        <s v="1.9.18"/>
        <s v="1.9.18.1"/>
        <s v="1.9.18.2"/>
        <s v="1.9.18.3"/>
        <s v="1.9.18.4"/>
        <s v="1.9.18.5"/>
        <s v="1.9.18.6"/>
        <s v="1.9.18.7"/>
        <s v="1.9.18.8"/>
        <s v="1.9.18.9"/>
        <n v="2.1"/>
        <s v="2.1.1"/>
        <s v="2.1.2"/>
        <s v="2.1.3"/>
        <s v="2.1.4"/>
        <n v="2.2000000000000002"/>
        <s v="2.2.1"/>
        <s v="2.2.2"/>
        <s v="2.2.3"/>
        <s v="2.2.4"/>
        <n v="2.2999999999999998"/>
        <s v="2.3.1"/>
        <s v="2.3.2"/>
        <s v="2.3.3"/>
        <s v="2.3.4"/>
        <n v="2.4"/>
        <s v="2.4.1"/>
        <s v="2.4.2"/>
        <s v="2.4.3"/>
        <s v="2.4.4"/>
        <n v="2.5"/>
        <s v="2.5.1"/>
        <s v="2.5.2"/>
        <s v="2.5.3"/>
        <s v="2.5.4"/>
        <n v="2.6"/>
        <s v="2.6.1"/>
        <s v="2.6.2"/>
        <s v="2.6.3"/>
        <s v="2.6.4"/>
        <n v="2.7"/>
        <s v="2.7.1"/>
        <s v="2.7.2"/>
        <s v="2.7.3"/>
        <s v="2.7.4"/>
        <n v="2.8"/>
        <s v="2.8.1"/>
        <s v="2.8.2"/>
        <s v="2.8.3"/>
        <s v="2.8.4"/>
        <n v="2.9"/>
        <s v="2.10"/>
        <n v="2.11"/>
        <s v="2.11.1"/>
        <s v="2.11.2"/>
        <s v="2.11.3"/>
        <s v="2.11.4"/>
        <s v="2.12"/>
        <s v="2.12.1"/>
        <s v="2.12.2"/>
        <s v="2.12.3"/>
        <s v="2.12.4"/>
        <s v="2.23"/>
        <s v="2.23.1"/>
        <s v="2.23.2"/>
        <s v="2.23.3"/>
        <s v="2.23.4"/>
        <s v="2.14"/>
        <s v="2.14.1"/>
        <s v="2.14.2"/>
        <s v="2.14.3"/>
        <s v="2.14.4"/>
        <s v="2.15"/>
        <s v="2.15.1"/>
        <s v="2.15.2"/>
        <s v="2.15.3"/>
        <s v="2.15.4"/>
        <s v="2.16"/>
        <s v="2.16.1"/>
        <s v="2.16.2"/>
        <s v="2.16.3"/>
        <s v="2.16.4"/>
        <s v="2.17"/>
        <s v="2.17.1"/>
        <s v="2.17.2"/>
        <s v="2.17.3"/>
        <s v="2.17.4"/>
        <s v="2.18"/>
        <s v="2.18.1"/>
        <s v="2.18.2"/>
        <s v="2.18.3"/>
        <s v="2.18.4"/>
        <s v="2.19"/>
        <s v="2.19.1"/>
        <s v="2.19.2"/>
        <s v="2.19.3"/>
        <s v="2.19.4"/>
        <s v="2.20"/>
        <s v="2.20.1"/>
        <s v="2.20.2"/>
        <s v="2.20.3"/>
        <s v="2.20.4"/>
        <s v="2.21"/>
        <s v="2.21.1"/>
        <s v="2.21.2"/>
        <s v="2.21.3"/>
        <s v="2.21.4"/>
        <s v="3.1"/>
        <s v="3.2"/>
        <s v="3.3"/>
        <s v="3.4"/>
        <s v="3.5"/>
        <s v="3.6"/>
        <s v="3.7"/>
        <s v="3.8"/>
        <s v="3.8.1"/>
        <s v="3.8.2"/>
        <s v="3.8.3"/>
        <s v="3.8.4"/>
        <s v="4.1"/>
        <s v="4.1.1"/>
        <s v="4.1.2"/>
        <s v="4.1.3"/>
        <s v="4.1.4"/>
        <s v="4.1.5"/>
        <s v="4.1.6"/>
        <s v="4.1.7"/>
        <s v="4.1.8"/>
        <s v="4.1.9"/>
        <s v="4.1.10"/>
        <n v="4.2"/>
        <s v="4.2.1"/>
        <s v="4.2.2"/>
        <s v="4.2.3"/>
        <s v="4.2.4"/>
        <s v="4.2.5"/>
        <s v="4.2.6"/>
        <s v="4.2.7"/>
        <s v="4.2.8"/>
        <s v="4.2.9"/>
        <s v="4.2.10"/>
        <s v="4.2.11"/>
        <s v="4.2.12"/>
        <s v="4.2.13"/>
        <s v="4.2.14"/>
        <s v="4.2.15"/>
        <s v="4.2.16"/>
        <s v="4.2.17"/>
        <s v="4.2.18"/>
      </sharedItems>
    </cacheField>
    <cacheField name="ID" numFmtId="0">
      <sharedItems containsNonDate="0" containsString="0" containsBlank="1" count="1">
        <m/>
      </sharedItems>
    </cacheField>
    <cacheField name="Task Name" numFmtId="0">
      <sharedItems containsBlank="1" count="221">
        <m/>
        <s v="プロジェクト計画書"/>
        <s v="プロジェクト計画書作成"/>
        <s v="プロジェクト計画書セルフチェック＆修正"/>
        <s v="工程定義"/>
        <s v="工程定義作成"/>
        <s v="工程定義セルフチェック＆修正"/>
        <s v="タスクフロー"/>
        <s v="タスクフロー作成(ED)"/>
        <s v="タスクフロー作成(MUT)"/>
        <s v="タスクフロー作成(IT)"/>
        <s v="タスクフロー作成(ST)"/>
        <s v="タスクフローRv＆修正"/>
        <s v="成果物一覧"/>
        <s v="成果物一覧作成"/>
        <s v="成果物一覧セルフチェック＆修正"/>
        <s v="見積（WMS/CMN）"/>
        <s v="見積（WMS/CMN）作成"/>
        <s v="見積（WMS/CMN）Rv"/>
        <s v="見積（WMS/CMN）Rv反映"/>
        <s v="見積（WMS/CMN）承認"/>
        <s v="L0/L1-Schedule"/>
        <s v="L0/L1-Schedule作成"/>
        <s v="L0/L1-Scheduleセルフチェック＆修正"/>
        <s v="L0/L1-Schedule承認"/>
        <s v="L2-Schedule（WMS/CMN）"/>
        <s v="L2-Schedule（WMS/CMN）作成"/>
        <s v="L2-Schedule（WMS/CMN）Rv"/>
        <s v="L2-Schedule（WMS/CMN）Rv反映"/>
        <s v="L2-Schedule（WMS/CMN）承認"/>
        <s v="L3-Schedule（WMS/CMN）"/>
        <s v="L3-Schedule（WMS/CMN）作成"/>
        <s v="L3-Schedule（WMS/CMN）Rv"/>
        <s v="L3-Schedule（WMS/CMN）Rv反映"/>
        <s v="L3-Schedule（WMS/CMN）承認"/>
        <s v="Assesement For restart"/>
        <s v="ビジネス概要"/>
        <s v="ドキュメント記載内容確認（Tosaka）"/>
        <s v="RV（Nieda★/Tosaka）"/>
        <s v="PM-Approval（Takeda★/Tosaka）"/>
        <s v="ビジネスルール定義書（WMS/CMN）"/>
        <s v="非機能定義書（WMS/CMN）"/>
        <s v="定義内容の指示だし（武田）"/>
        <s v="記載数値の設定（Tosaka/Nieda★）"/>
        <s v="資料作成（Tosaka）"/>
        <s v="RV（Tosaka/Nieda★）"/>
        <s v="システム構成図/ネットワーク構成図"/>
        <s v="ドキュメント再作成（Tuyen）"/>
        <s v="RV＆PM-Approval（Tuyen/Takeda★）"/>
        <s v="アクター定義書"/>
        <s v="不足分業務フローの再作成（Nieda）"/>
        <s v="不足業務フローの意識あわせ（Nieda★/Tosaka/Tuyen）"/>
        <s v="RV＆PM-Approval（Nieda/Tosaka/Tuyen/Takeda★）"/>
        <s v="業務フロー（WMS/CMN）"/>
        <s v="機能一覧（WMS/CMN）"/>
        <s v="機能一覧の記載内容角に及び修正（Nieda/Tosaka★/Tin）"/>
        <s v="上記修正が完了したあとにSub-Project1/Ph1のScopeを明確にする。※ABEの案件Scope確定のため（Nieda/Tosaka/Tin★）"/>
        <s v="RV（Nieda★/Tosaka/Tin）"/>
        <s v="PM-Approval（Nieda/Tosaka/Tin/武田★）"/>
        <s v="UI標準"/>
        <s v="資料作成（Khoa）"/>
        <s v="RV＆PM-Approval（Khoa/武田★）"/>
        <s v="画面定義書（WMS/CMN）"/>
        <s v="作成状況確認（Khoa/Tosaka）"/>
        <s v="贄田さんコメントの取込状況の展開（Khoa/Tosaka）"/>
        <s v="作成不足分のL3Schedule作成（Khoa/Thinh★）"/>
        <s v="不足分の作成（PG：Shedule ManagementはThinh 作成方法についてのPGサポートはTLおよびKhoa）"/>
        <s v="RV（TL ※RVerはKhoaくんがAssignmentしてください）"/>
        <s v="Approval（Khoa/Tosaka）"/>
        <s v="Sample RV（Khoa/Takeda★）"/>
        <s v="帳票定義書（WMS/CMN）"/>
        <s v="作成状況確認（Khoa）"/>
        <s v="Approval（Khoa）"/>
        <s v="画面一覧（WMS/CMN）"/>
        <s v="PGもしくはTLへの作成指示（Khoa★/Tuyen/Thinh）"/>
        <s v="Approval（Tuyen/Thinh）"/>
        <s v="Sample RV（Tuyen/Thinh /Takeda★）"/>
        <s v="帳票一覧（WMS/CMN）"/>
        <s v="ER図（WMS/CMN）"/>
        <s v="ER-Diagramの修正（Tosaka）"/>
        <s v="エンティティ定義書のExport（Tosaka）※この作業はTLに振ってもよし"/>
        <s v="RV（Tosaka/Tuyen/Khoa/Tin/Thinh/武田）"/>
        <s v="Approval（Takeda）"/>
        <s v="エンティティ定義書（WMS/CMN）_x000a_エンティティ一覧（WMS/CMN）"/>
        <s v="命名規則/辞書"/>
        <s v="記載内容確認（Tosaka★/Tuyen）"/>
        <s v="RV＆PM-Approval（Tosaka★/Tuyen）"/>
        <s v="外部インターフェース一覧"/>
        <s v="開発パッケージ構成ポリシー"/>
        <s v="検討会の実施（Tosaka/Tin/Khoa/Tuyen/Huan/Vy/My）"/>
        <s v="ドキュメントの作成（アサインはTosakaさんにまかせます）"/>
        <s v="RV＆PM-Approval（Tosaka/Tin/Khoa/Tuyen/Takeda★）"/>
        <s v="営業TOOLキット"/>
        <s v="・Business Flow（Tosaka/Nieda）"/>
        <s v="・Business Rule（Tosaka/Nieda）"/>
        <s v="・Screen MockUp（Khoa）"/>
        <s v="・Screen List（Tuyen/Thinh）"/>
        <s v="・Function List（Tosaka/Tin）"/>
        <s v="・Report List（Tuyen/Thinh）"/>
        <s v="各ドキュメントの作成およびRV（各責任者）"/>
        <s v="PM-Approval（各責任者と武田）"/>
        <s v="贄田さんに格納場所の連絡（武田）"/>
        <s v="ビジネス概要作成"/>
        <s v="ビジネス概要Rv"/>
        <s v="ビジネス概要Rv反映"/>
        <s v="ビジネス概要承認"/>
        <s v="ビジネスルール定義書（WMS/CMN）作成"/>
        <s v="ビジネスルール定義書（WMS/CMN）Rv"/>
        <s v="ビジネスルール定義書（WMS/CMN）Rv反映"/>
        <s v="ビジネスルール定義書（WMS/CMN）承認"/>
        <s v="非機能定義書（WMS/CMN）作成"/>
        <s v="非機能定義書（WMS/CMN）Rv"/>
        <s v="非機能定義書（WMS/CMN）Rv反映"/>
        <s v="非機能定義書（WMS/CMN）承認"/>
        <s v="システム構成図/ネットワーク構成図作成"/>
        <s v="システム構成図/ネットワーク構成図Rv"/>
        <s v="システム構成図/ネットワーク構成図Rv反映"/>
        <s v="システム構成図/ネットワーク構成図承認"/>
        <s v="アクター定義書作成"/>
        <s v="アクター定義書Rv"/>
        <s v="アクター定義書Rv反映"/>
        <s v="アクター定義書承認"/>
        <s v="業務フロー（WMS/CMN）作成"/>
        <s v="業務フロー（WMS/CMN）Rv"/>
        <s v="業務フロー（WMS/CMN）Rv反映"/>
        <s v="業務フロー（WMS/CMN）承認"/>
        <s v="機能一覧（WMS/CMN）作成"/>
        <s v="機能一覧（WMS/CMN）Rv"/>
        <s v="機能一覧（WMS/CMN）Rv反映"/>
        <s v="機能一覧（WMS/CMN）承認"/>
        <s v="UI標準作成"/>
        <s v="UI標準Rv"/>
        <s v="UI標準Rv反映"/>
        <s v="UI標準承認"/>
        <s v="画面一覧（WMS/CMN）作成"/>
        <s v="画面一覧（WMS/CMN）Rv"/>
        <s v="画面一覧（WMS/CMN）Rv反映"/>
        <s v="画面一覧（WMS/CMN）承認"/>
        <s v="帳票一覧（WMS/CMN）作成"/>
        <s v="帳票一覧（WMS/CMN）Rv"/>
        <s v="帳票一覧（WMS/CMN）Rv反映"/>
        <s v="帳票一覧（WMS/CMN）承認"/>
        <s v="画面遷移図（WMS/CMN）"/>
        <s v="画面遷移図（WMS/CMN）作成"/>
        <s v="画面遷移図（WMS/CMN）Rv"/>
        <s v="画面遷移図（WMS/CMN）Rv反映"/>
        <s v="画面遷移図（WMS/CMN）承認"/>
        <s v="ER図（WMS/CMN）作成"/>
        <s v="ER図（WMS/CMN）Rv"/>
        <s v="ER図（WMS/CMN）Rv反映"/>
        <s v="ER図（WMS/CMN）承認"/>
        <s v="エンティティ定義書（WMS/CMN）"/>
        <s v="エンティティ定義書（WMS/CMN）作成"/>
        <s v="エンティティ定義書（WMS/CMN）Rv"/>
        <s v="エンティティ定義書（WMS/CMN）Rv反映"/>
        <s v="エンティティ定義書（WMS/CMN）承認"/>
        <s v="エンティティ一覧（WMS/CMN）"/>
        <s v="エンティティ一覧（WMS/CMN）作成"/>
        <s v="エンティティ一覧（WMS/CMN）Rv"/>
        <s v="エンティティ一覧（WMS/CMN）Rv反映"/>
        <s v="エンティティ一覧（WMS/CMN）承認"/>
        <s v="命名規則/辞書作成"/>
        <s v="命名規則/辞書Rv"/>
        <s v="命名規則/辞書Rv反映"/>
        <s v="命名規則/辞書承認"/>
        <s v="外部インターフェース一覧作成"/>
        <s v="外部インターフェース一覧Rv"/>
        <s v="外部インターフェース一覧Rv反映"/>
        <s v="外部インターフェース一覧承認"/>
        <s v="開発パッケージ構成ポリシー作成"/>
        <s v="開発パッケージ構成ポリシーRv"/>
        <s v="開発パッケージ構成ポリシーRv反映"/>
        <s v="開発パッケージ構成ポリシー承認"/>
        <s v="コーディング規約"/>
        <s v="コーディング規約作成"/>
        <s v="コーディング規約Rv"/>
        <s v="コーディング規約Rv反映"/>
        <s v="コーディング規約承認"/>
        <s v="UT 実施要領"/>
        <s v="UT 実施要領作成"/>
        <s v="UT 実施要領Rv"/>
        <s v="UT 実施要領Rv反映"/>
        <s v="UT 実施要領承認"/>
        <s v="メッセージ定義書（WMS/CMN）"/>
        <s v="オンライン設計書（WMS/CMN）"/>
        <s v="QP画面定義（WMS/CMN）"/>
        <s v="帳票設計書（WMS/CMN）"/>
        <s v="共通画面パーツ定義"/>
        <s v="共通プロセス設計書（WMS/CMN）"/>
        <s v="外部インターフェース定義書（WMS/CMN）"/>
        <s v="ER図"/>
        <s v="ER図作成"/>
        <s v="ER図Rv"/>
        <s v="ER図Rv反映"/>
        <s v="ER図承認"/>
        <s v="M&amp;UT(QP 100%)"/>
        <s v="ソースコード自動生成"/>
        <s v="画面系のソースコード作成"/>
        <s v="画面系のソースコードRv"/>
        <s v="画面系のソースコードRv反映"/>
        <s v="画面系の試験項目作成"/>
        <s v="画面系の試験項目Rv"/>
        <s v="画面系の試験項目Rv反映"/>
        <s v="画面系の試験項目実施"/>
        <s v="バグFix＋再試験"/>
        <s v="試験結果確認"/>
        <s v="M&amp;UT(QP XX%)"/>
        <s v="QPモジュール修正"/>
        <s v="QPモジュールRv"/>
        <s v="QPモジュールRv反映"/>
        <s v="ソースコード修正"/>
        <s v="ソースコード修正Rv"/>
        <s v="ソースコードRv反映"/>
        <s v="試験項目作成（画面とロジック）"/>
        <s v="試験項目作成（画面とロジック）Rv"/>
        <s v="試験項目作成（画面とロジック）Rv反映"/>
        <s v="Junit テストコード作成"/>
        <s v="Junit テストコードRv"/>
        <s v="Junit テストコードRv反映"/>
        <s v="Junit テストコード実施"/>
        <s v="バグFix"/>
      </sharedItems>
    </cacheField>
    <cacheField name="PIC" numFmtId="0">
      <sharedItems containsBlank="1" count="10">
        <m/>
        <s v="Takeda"/>
        <s v="ThinhNH"/>
        <s v="Muratake"/>
        <s v="Tosaka"/>
        <s v="Nieda"/>
        <s v="TuyenPV"/>
        <s v="TinHD"/>
        <s v="KhoaMD"/>
        <s v="PM"/>
      </sharedItems>
    </cacheField>
    <cacheField name="Start" numFmtId="165">
      <sharedItems containsNonDate="0" containsDate="1" containsString="0" containsBlank="1" minDate="2017-03-29T00:00:00" maxDate="2017-04-15T00:00:00"/>
    </cacheField>
    <cacheField name="End" numFmtId="165">
      <sharedItems containsNonDate="0" containsDate="1" containsString="0" containsBlank="1" minDate="2017-03-29T00:00:00" maxDate="2017-04-15T00:00:00" count="12">
        <m/>
        <d v="2017-04-05T00:00:00"/>
        <d v="2017-04-10T00:00:00"/>
        <d v="2017-04-04T00:00:00"/>
        <d v="2017-03-30T00:00:00"/>
        <d v="2017-04-02T00:00:00"/>
        <d v="2017-04-03T00:00:00"/>
        <d v="2017-03-29T00:00:00"/>
        <d v="2017-03-31T00:00:00"/>
        <d v="2017-04-13T00:00:00"/>
        <d v="2017-04-14T00:00:00"/>
        <d v="2017-04-11T00:00:00"/>
      </sharedItems>
    </cacheField>
    <cacheField name="Duration" numFmtId="0">
      <sharedItems containsNonDate="0" containsString="0" containsBlank="1"/>
    </cacheField>
    <cacheField name="LE" numFmtId="0">
      <sharedItems containsNonDate="0" containsString="0" containsBlank="1"/>
    </cacheField>
    <cacheField name="Start " numFmtId="165">
      <sharedItems containsNonDate="0" containsDate="1" containsString="0" containsBlank="1" minDate="2017-03-29T00:00:00" maxDate="2017-04-04T00:00:00"/>
    </cacheField>
    <cacheField name="End " numFmtId="165">
      <sharedItems containsNonDate="0" containsDate="1" containsString="0" containsBlank="1" minDate="2017-03-29T00:00:00" maxDate="2017-04-04T00:00:00"/>
    </cacheField>
    <cacheField name="Duration2" numFmtId="0">
      <sharedItems containsNonDate="0" containsString="0" containsBlank="1"/>
    </cacheField>
    <cacheField name="Status" numFmtId="166">
      <sharedItems containsBlank="1"/>
    </cacheField>
    <cacheField name="%" numFmtId="9">
      <sharedItems containsString="0" containsBlank="1" containsNumber="1" minValue="0.5" maxValue="1"/>
    </cacheField>
    <cacheField name="Difficulty" numFmtId="9">
      <sharedItems containsNonDate="0" containsString="0" containsBlank="1"/>
    </cacheField>
    <cacheField name="Priority" numFmtId="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inh Nguyen Hoang" refreshedDate="42838.384394444445" createdVersion="5" refreshedVersion="5" minRefreshableVersion="3" recordCount="330">
  <cacheSource type="worksheet">
    <worksheetSource ref="C2:T130" sheet="Daily Track"/>
  </cacheSource>
  <cacheFields count="17">
    <cacheField name="WBS.No" numFmtId="0">
      <sharedItems containsBlank="1" containsMixedTypes="1" containsNumber="1" minValue="1.1000000000000001" maxValue="4.2"/>
    </cacheField>
    <cacheField name="ID" numFmtId="0">
      <sharedItems containsNonDate="0" containsString="0" containsBlank="1"/>
    </cacheField>
    <cacheField name="Task Name" numFmtId="0">
      <sharedItems containsBlank="1"/>
    </cacheField>
    <cacheField name="PIC" numFmtId="0">
      <sharedItems containsBlank="1" count="12">
        <m/>
        <s v="Takeda"/>
        <s v="ThinhNH"/>
        <s v="Muratake"/>
        <s v="Tosaka"/>
        <s v="Nieda"/>
        <s v="TuyenPV"/>
        <s v="TinHD"/>
        <s v="VyBQ"/>
        <s v="KhoaMD"/>
        <s v="PM"/>
        <s v="Taked, Nieda" u="1"/>
      </sharedItems>
    </cacheField>
    <cacheField name="Start" numFmtId="165">
      <sharedItems containsNonDate="0" containsDate="1" containsString="0" containsBlank="1" minDate="2017-03-29T00:00:00" maxDate="2017-04-15T00:00:00"/>
    </cacheField>
    <cacheField name="End" numFmtId="165">
      <sharedItems containsNonDate="0" containsDate="1" containsString="0" containsBlank="1" minDate="2017-03-29T00:00:00" maxDate="2017-04-15T00:00:00" count="14">
        <m/>
        <d v="2017-04-05T00:00:00"/>
        <d v="2017-04-10T00:00:00"/>
        <d v="2017-04-04T00:00:00"/>
        <d v="2017-04-14T00:00:00"/>
        <d v="2017-03-30T00:00:00"/>
        <d v="2017-04-11T00:00:00"/>
        <d v="2017-04-13T00:00:00"/>
        <d v="2017-04-07T00:00:00"/>
        <d v="2017-04-02T00:00:00"/>
        <d v="2017-04-03T00:00:00"/>
        <d v="2017-03-29T00:00:00"/>
        <d v="2017-03-31T00:00:00"/>
        <d v="2017-04-12T00:00:00"/>
      </sharedItems>
    </cacheField>
    <cacheField name="Duration" numFmtId="0">
      <sharedItems containsNonDate="0" containsString="0" containsBlank="1"/>
    </cacheField>
    <cacheField name="LE" numFmtId="0">
      <sharedItems containsNonDate="0" containsDate="1" containsString="0" containsBlank="1" minDate="2017-04-05T00:00:00" maxDate="2017-04-29T00:00:00"/>
    </cacheField>
    <cacheField name="Start " numFmtId="165">
      <sharedItems containsNonDate="0" containsDate="1" containsString="0" containsBlank="1" minDate="2017-03-28T00:00:00" maxDate="2017-04-13T00:00:00"/>
    </cacheField>
    <cacheField name="End " numFmtId="165">
      <sharedItems containsNonDate="0" containsDate="1" containsString="0" containsBlank="1" minDate="2017-03-29T00:00:00" maxDate="2017-04-13T00:00:00"/>
    </cacheField>
    <cacheField name="Duration2" numFmtId="0">
      <sharedItems containsNonDate="0" containsString="0" containsBlank="1"/>
    </cacheField>
    <cacheField name="Status" numFmtId="166">
      <sharedItems containsBlank="1"/>
    </cacheField>
    <cacheField name="%" numFmtId="9">
      <sharedItems containsString="0" containsBlank="1" containsNumber="1" minValue="0.02" maxValue="1"/>
    </cacheField>
    <cacheField name="Difficulty" numFmtId="9">
      <sharedItems containsNonDate="0" containsString="0" containsBlank="1"/>
    </cacheField>
    <cacheField name="Priority" numFmtId="9">
      <sharedItems containsBlank="1" count="5">
        <m/>
        <s v="Low"/>
        <s v="Medium"/>
        <s v="Very High"/>
        <s v="High"/>
      </sharedItems>
    </cacheField>
    <cacheField name="Input" numFmtId="0">
      <sharedItems containsNonDate="0" containsString="0" containsBlank="1"/>
    </cacheField>
    <cacheField name="Outpu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">
  <r>
    <m/>
    <m/>
    <m/>
    <m/>
    <m/>
    <m/>
    <x v="0"/>
    <m/>
    <m/>
    <m/>
    <m/>
    <m/>
    <m/>
    <m/>
    <m/>
    <x v="0"/>
  </r>
  <r>
    <s v="PD"/>
    <n v="1.1000000000000001"/>
    <m/>
    <s v="プロジェクト計画書"/>
    <m/>
    <m/>
    <x v="0"/>
    <m/>
    <m/>
    <m/>
    <m/>
    <m/>
    <m/>
    <m/>
    <m/>
    <x v="0"/>
  </r>
  <r>
    <s v="PD"/>
    <s v="1.1.1"/>
    <m/>
    <s v="プロジェクト計画書作成"/>
    <s v="Takeda"/>
    <d v="2017-04-03T00:00:00"/>
    <x v="1"/>
    <m/>
    <m/>
    <m/>
    <m/>
    <m/>
    <m/>
    <m/>
    <m/>
    <x v="0"/>
  </r>
  <r>
    <s v="PD"/>
    <s v="1.1.2"/>
    <m/>
    <s v="プロジェクト計画書セルフチェック＆修正"/>
    <s v="Takeda"/>
    <d v="2017-04-10T00:00:00"/>
    <x v="2"/>
    <m/>
    <m/>
    <m/>
    <m/>
    <m/>
    <m/>
    <m/>
    <m/>
    <x v="0"/>
  </r>
  <r>
    <s v="PD"/>
    <n v="1.2"/>
    <m/>
    <s v="工程定義"/>
    <m/>
    <m/>
    <x v="0"/>
    <m/>
    <m/>
    <m/>
    <m/>
    <m/>
    <m/>
    <m/>
    <m/>
    <x v="0"/>
  </r>
  <r>
    <s v="PD"/>
    <s v="1.2.1"/>
    <m/>
    <s v="工程定義作成"/>
    <s v="Takeda"/>
    <d v="2017-04-03T00:00:00"/>
    <x v="3"/>
    <m/>
    <m/>
    <m/>
    <m/>
    <m/>
    <m/>
    <m/>
    <m/>
    <x v="0"/>
  </r>
  <r>
    <s v="PD"/>
    <s v="1.2.2"/>
    <m/>
    <s v="工程定義セルフチェック＆修正"/>
    <s v="Takeda"/>
    <d v="2017-04-04T00:00:00"/>
    <x v="1"/>
    <m/>
    <m/>
    <m/>
    <m/>
    <m/>
    <m/>
    <m/>
    <m/>
    <x v="0"/>
  </r>
  <r>
    <s v="PD"/>
    <n v="1.3"/>
    <m/>
    <s v="タスクフロー"/>
    <m/>
    <m/>
    <x v="0"/>
    <m/>
    <m/>
    <m/>
    <m/>
    <m/>
    <m/>
    <m/>
    <m/>
    <x v="0"/>
  </r>
  <r>
    <s v="PD"/>
    <s v="1.3.1"/>
    <m/>
    <s v="タスクフロー作成(ED)"/>
    <s v="ThinhNH"/>
    <d v="2017-03-30T00:00:00"/>
    <x v="3"/>
    <m/>
    <m/>
    <d v="2017-03-30T00:00:00"/>
    <d v="2017-04-03T00:00:00"/>
    <m/>
    <s v="Closed"/>
    <n v="1"/>
    <m/>
    <x v="0"/>
  </r>
  <r>
    <s v="PD"/>
    <s v="1.3.2"/>
    <m/>
    <s v="タスクフロー作成(MUT)"/>
    <s v="ThinhNH"/>
    <d v="2017-03-30T00:00:00"/>
    <x v="3"/>
    <m/>
    <m/>
    <d v="2017-04-03T00:00:00"/>
    <m/>
    <m/>
    <s v="On-going"/>
    <n v="0.4"/>
    <m/>
    <x v="0"/>
  </r>
  <r>
    <s v="PD"/>
    <s v="1.3.3"/>
    <m/>
    <s v="タスクフロー作成(IT)"/>
    <s v="Takeda"/>
    <m/>
    <x v="0"/>
    <m/>
    <m/>
    <m/>
    <m/>
    <m/>
    <m/>
    <m/>
    <m/>
    <x v="0"/>
  </r>
  <r>
    <s v="PD"/>
    <s v="1.3.4"/>
    <m/>
    <s v="タスクフロー作成(ST)"/>
    <s v="Takeda"/>
    <m/>
    <x v="0"/>
    <m/>
    <m/>
    <m/>
    <m/>
    <m/>
    <m/>
    <m/>
    <m/>
    <x v="0"/>
  </r>
  <r>
    <s v="PD"/>
    <s v="1.3.5"/>
    <m/>
    <s v="タスクフローRv＆修正"/>
    <s v="Takeda"/>
    <d v="2017-04-05T00:00:00"/>
    <x v="1"/>
    <m/>
    <m/>
    <m/>
    <m/>
    <m/>
    <m/>
    <m/>
    <m/>
    <x v="0"/>
  </r>
  <r>
    <s v="PD"/>
    <n v="1.4"/>
    <m/>
    <s v="成果物一覧"/>
    <m/>
    <m/>
    <x v="0"/>
    <m/>
    <m/>
    <m/>
    <m/>
    <m/>
    <m/>
    <m/>
    <m/>
    <x v="0"/>
  </r>
  <r>
    <s v="PD"/>
    <s v="1.4.1"/>
    <m/>
    <s v="成果物一覧作成"/>
    <s v="Takeda"/>
    <d v="2017-03-30T00:00:00"/>
    <x v="4"/>
    <m/>
    <m/>
    <m/>
    <m/>
    <m/>
    <m/>
    <m/>
    <m/>
    <x v="0"/>
  </r>
  <r>
    <s v="PD"/>
    <s v="1.4.2"/>
    <m/>
    <s v="成果物一覧セルフチェック＆修正"/>
    <s v="Takeda"/>
    <d v="2017-03-30T00:00:00"/>
    <x v="4"/>
    <m/>
    <m/>
    <m/>
    <m/>
    <m/>
    <m/>
    <m/>
    <m/>
    <x v="0"/>
  </r>
  <r>
    <s v="PD"/>
    <n v="1.5"/>
    <m/>
    <s v="見積（WMS/CMN）"/>
    <m/>
    <m/>
    <x v="0"/>
    <m/>
    <m/>
    <m/>
    <m/>
    <m/>
    <m/>
    <m/>
    <m/>
    <x v="0"/>
  </r>
  <r>
    <s v="PD"/>
    <s v="1.5.1"/>
    <m/>
    <s v="見積（WMS/CMN）作成"/>
    <m/>
    <m/>
    <x v="0"/>
    <m/>
    <m/>
    <m/>
    <m/>
    <m/>
    <m/>
    <m/>
    <m/>
    <x v="0"/>
  </r>
  <r>
    <s v="PD"/>
    <s v="1.5.2"/>
    <m/>
    <s v="見積（WMS/CMN）Rv"/>
    <m/>
    <m/>
    <x v="0"/>
    <m/>
    <m/>
    <m/>
    <m/>
    <m/>
    <m/>
    <m/>
    <m/>
    <x v="0"/>
  </r>
  <r>
    <s v="PD"/>
    <s v="1.5.3"/>
    <m/>
    <s v="見積（WMS/CMN）Rv反映"/>
    <m/>
    <m/>
    <x v="0"/>
    <m/>
    <m/>
    <m/>
    <m/>
    <m/>
    <m/>
    <m/>
    <m/>
    <x v="0"/>
  </r>
  <r>
    <s v="PD"/>
    <s v="1.5.4"/>
    <m/>
    <s v="見積（WMS/CMN）承認"/>
    <m/>
    <m/>
    <x v="0"/>
    <m/>
    <m/>
    <m/>
    <m/>
    <m/>
    <m/>
    <m/>
    <m/>
    <x v="0"/>
  </r>
  <r>
    <s v="PD"/>
    <n v="1.6"/>
    <m/>
    <s v="L0/L1-Schedule"/>
    <m/>
    <m/>
    <x v="0"/>
    <m/>
    <m/>
    <m/>
    <m/>
    <m/>
    <m/>
    <m/>
    <m/>
    <x v="0"/>
  </r>
  <r>
    <s v="PD"/>
    <s v="1.6.1"/>
    <m/>
    <s v="L0/L1-Schedule作成"/>
    <s v="Takeda"/>
    <m/>
    <x v="0"/>
    <m/>
    <m/>
    <m/>
    <m/>
    <m/>
    <m/>
    <m/>
    <m/>
    <x v="0"/>
  </r>
  <r>
    <s v="PD"/>
    <s v="1.6.2"/>
    <m/>
    <s v="L0/L1-Scheduleセルフチェック＆修正"/>
    <s v="Takeda"/>
    <m/>
    <x v="0"/>
    <m/>
    <m/>
    <m/>
    <m/>
    <m/>
    <m/>
    <m/>
    <m/>
    <x v="0"/>
  </r>
  <r>
    <s v="PD"/>
    <s v="1.6.4"/>
    <m/>
    <s v="L0/L1-Schedule承認"/>
    <s v="Muratake"/>
    <m/>
    <x v="0"/>
    <m/>
    <m/>
    <m/>
    <m/>
    <m/>
    <m/>
    <m/>
    <m/>
    <x v="0"/>
  </r>
  <r>
    <s v="PD"/>
    <s v="1.7"/>
    <m/>
    <s v="L2-Schedule（WMS/CMN）"/>
    <m/>
    <m/>
    <x v="0"/>
    <m/>
    <m/>
    <m/>
    <m/>
    <m/>
    <m/>
    <m/>
    <m/>
    <x v="0"/>
  </r>
  <r>
    <s v="PD"/>
    <s v="1.7.1"/>
    <m/>
    <s v="L2-Schedule（WMS/CMN）作成"/>
    <s v="ThinhNH"/>
    <m/>
    <x v="0"/>
    <m/>
    <m/>
    <m/>
    <m/>
    <m/>
    <m/>
    <m/>
    <m/>
    <x v="0"/>
  </r>
  <r>
    <s v="PD"/>
    <s v="1.7.2"/>
    <m/>
    <s v="L2-Schedule（WMS/CMN）Rv"/>
    <s v="Takeda"/>
    <m/>
    <x v="0"/>
    <m/>
    <m/>
    <m/>
    <m/>
    <m/>
    <m/>
    <m/>
    <m/>
    <x v="0"/>
  </r>
  <r>
    <s v="PD"/>
    <s v="1.7.3"/>
    <m/>
    <s v="L2-Schedule（WMS/CMN）Rv反映"/>
    <s v="ThinhNH"/>
    <m/>
    <x v="0"/>
    <m/>
    <m/>
    <m/>
    <m/>
    <m/>
    <m/>
    <m/>
    <m/>
    <x v="0"/>
  </r>
  <r>
    <s v="PD"/>
    <s v="1.7.4"/>
    <m/>
    <s v="L2-Schedule（WMS/CMN）承認"/>
    <s v="Takeda"/>
    <m/>
    <x v="0"/>
    <m/>
    <m/>
    <m/>
    <m/>
    <m/>
    <m/>
    <m/>
    <m/>
    <x v="0"/>
  </r>
  <r>
    <s v="PD"/>
    <s v="1.8"/>
    <m/>
    <s v="L3-Schedule（WMS/CMN）"/>
    <m/>
    <m/>
    <x v="0"/>
    <m/>
    <m/>
    <m/>
    <m/>
    <m/>
    <m/>
    <m/>
    <m/>
    <x v="0"/>
  </r>
  <r>
    <s v="PD"/>
    <s v="1.8.1"/>
    <m/>
    <s v="L3-Schedule（WMS/CMN）作成"/>
    <s v="ThinhNH"/>
    <m/>
    <x v="0"/>
    <m/>
    <m/>
    <m/>
    <m/>
    <m/>
    <m/>
    <m/>
    <m/>
    <x v="0"/>
  </r>
  <r>
    <s v="PD"/>
    <s v="1.8.2"/>
    <m/>
    <s v="L3-Schedule（WMS/CMN）Rv"/>
    <s v="Takeda"/>
    <m/>
    <x v="0"/>
    <m/>
    <m/>
    <m/>
    <m/>
    <m/>
    <m/>
    <m/>
    <m/>
    <x v="0"/>
  </r>
  <r>
    <s v="PD"/>
    <s v="1.8.3"/>
    <m/>
    <s v="L3-Schedule（WMS/CMN）Rv反映"/>
    <s v="ThinhNH"/>
    <m/>
    <x v="0"/>
    <m/>
    <m/>
    <m/>
    <m/>
    <m/>
    <m/>
    <m/>
    <m/>
    <x v="0"/>
  </r>
  <r>
    <s v="PD"/>
    <s v="1.8.4"/>
    <m/>
    <s v="L3-Schedule（WMS/CMN）承認"/>
    <s v="Takeda"/>
    <m/>
    <x v="0"/>
    <m/>
    <m/>
    <m/>
    <m/>
    <m/>
    <m/>
    <m/>
    <m/>
    <x v="0"/>
  </r>
  <r>
    <s v="PD"/>
    <s v="1.9"/>
    <m/>
    <s v="Assesement For restart"/>
    <m/>
    <m/>
    <x v="0"/>
    <m/>
    <m/>
    <m/>
    <m/>
    <m/>
    <m/>
    <m/>
    <m/>
    <x v="0"/>
  </r>
  <r>
    <s v="PD"/>
    <s v="1.9.1"/>
    <m/>
    <s v="ビジネス概要"/>
    <m/>
    <m/>
    <x v="0"/>
    <m/>
    <m/>
    <m/>
    <m/>
    <m/>
    <m/>
    <m/>
    <m/>
    <x v="0"/>
  </r>
  <r>
    <s v="PD"/>
    <s v="1.9.1.4"/>
    <m/>
    <s v="ドキュメント記載内容確認（Tosaka）"/>
    <s v="Tosaka"/>
    <m/>
    <x v="0"/>
    <m/>
    <m/>
    <m/>
    <m/>
    <m/>
    <m/>
    <m/>
    <m/>
    <x v="1"/>
  </r>
  <r>
    <s v="PD"/>
    <s v="1.9.1.5"/>
    <m/>
    <s v="RV（Nieda★/Tosaka）"/>
    <s v="Nieda"/>
    <m/>
    <x v="0"/>
    <m/>
    <m/>
    <m/>
    <m/>
    <m/>
    <m/>
    <m/>
    <m/>
    <x v="1"/>
  </r>
  <r>
    <s v="PD"/>
    <s v="1.9.1.6"/>
    <m/>
    <s v="PM-Approval（Takeda★/Tosaka）"/>
    <s v="Takeda"/>
    <m/>
    <x v="0"/>
    <m/>
    <m/>
    <m/>
    <m/>
    <m/>
    <m/>
    <m/>
    <m/>
    <x v="1"/>
  </r>
  <r>
    <s v="PD"/>
    <s v="1.9.2"/>
    <m/>
    <s v="ビジネスルール定義書（WMS/CMN）"/>
    <m/>
    <m/>
    <x v="0"/>
    <m/>
    <m/>
    <m/>
    <m/>
    <m/>
    <m/>
    <m/>
    <m/>
    <x v="0"/>
  </r>
  <r>
    <s v="PD"/>
    <s v="1.9.2.4"/>
    <m/>
    <s v="ドキュメント記載内容確認（Tosaka）"/>
    <s v="Tosaka"/>
    <d v="2017-03-29T00:00:00"/>
    <x v="5"/>
    <m/>
    <m/>
    <m/>
    <m/>
    <m/>
    <m/>
    <m/>
    <m/>
    <x v="1"/>
  </r>
  <r>
    <s v="PD"/>
    <s v="1.9.2.5"/>
    <m/>
    <s v="RV（Nieda★/Tosaka）"/>
    <s v="Nieda"/>
    <d v="2017-03-29T00:00:00"/>
    <x v="6"/>
    <m/>
    <m/>
    <m/>
    <m/>
    <m/>
    <m/>
    <m/>
    <m/>
    <x v="1"/>
  </r>
  <r>
    <s v="PD"/>
    <s v="1.9.2.6"/>
    <m/>
    <s v="PM-Approval（Takeda★/Tosaka）"/>
    <s v="Takeda"/>
    <d v="2017-04-04T00:00:00"/>
    <x v="3"/>
    <m/>
    <m/>
    <m/>
    <m/>
    <m/>
    <m/>
    <m/>
    <m/>
    <x v="1"/>
  </r>
  <r>
    <s v="PD"/>
    <s v="1.9.3"/>
    <m/>
    <s v="非機能定義書（WMS/CMN）"/>
    <m/>
    <m/>
    <x v="0"/>
    <m/>
    <m/>
    <m/>
    <m/>
    <m/>
    <m/>
    <m/>
    <m/>
    <x v="0"/>
  </r>
  <r>
    <s v="PD"/>
    <s v="1.9.3.4"/>
    <m/>
    <s v="定義内容の指示だし（武田）"/>
    <s v="Takeda"/>
    <d v="2017-03-29T00:00:00"/>
    <x v="7"/>
    <m/>
    <m/>
    <d v="2017-03-29T00:00:00"/>
    <d v="2017-03-29T00:00:00"/>
    <m/>
    <s v="Closed"/>
    <n v="1"/>
    <m/>
    <x v="0"/>
  </r>
  <r>
    <s v="PD"/>
    <s v="1.9.3.5"/>
    <m/>
    <s v="記載数値の設定（Tosaka/Nieda★）"/>
    <s v="Nieda"/>
    <d v="2017-03-31T00:00:00"/>
    <x v="8"/>
    <m/>
    <m/>
    <d v="2017-03-31T00:00:00"/>
    <d v="2017-03-31T00:00:00"/>
    <m/>
    <s v="Closed"/>
    <n v="1"/>
    <m/>
    <x v="0"/>
  </r>
  <r>
    <s v="PD"/>
    <s v="1.9.3.6"/>
    <m/>
    <s v="資料作成（Tosaka）"/>
    <s v="Takeda"/>
    <d v="2017-04-03T00:00:00"/>
    <x v="6"/>
    <m/>
    <m/>
    <d v="2017-04-03T00:00:00"/>
    <d v="2017-04-03T00:00:00"/>
    <m/>
    <s v="Closed"/>
    <n v="1"/>
    <m/>
    <x v="0"/>
  </r>
  <r>
    <s v="PD"/>
    <s v="1.9.3.7"/>
    <m/>
    <s v="RV（Tosaka/Nieda★）"/>
    <s v="Nieda"/>
    <d v="2017-04-03T00:00:00"/>
    <x v="6"/>
    <m/>
    <m/>
    <m/>
    <m/>
    <m/>
    <m/>
    <m/>
    <m/>
    <x v="0"/>
  </r>
  <r>
    <s v="PD"/>
    <s v="1.9.3.8"/>
    <m/>
    <s v="PM-Approval（Takeda★/Tosaka）"/>
    <s v="Takeda"/>
    <d v="2017-04-05T00:00:00"/>
    <x v="1"/>
    <m/>
    <m/>
    <m/>
    <m/>
    <m/>
    <m/>
    <m/>
    <m/>
    <x v="0"/>
  </r>
  <r>
    <s v="PD"/>
    <s v="1.9.4"/>
    <m/>
    <s v="システム構成図/ネットワーク構成図"/>
    <m/>
    <m/>
    <x v="0"/>
    <m/>
    <m/>
    <m/>
    <m/>
    <m/>
    <m/>
    <m/>
    <m/>
    <x v="0"/>
  </r>
  <r>
    <s v="PD"/>
    <s v="1.9.4.4"/>
    <m/>
    <s v="ドキュメント再作成（Tuyen）"/>
    <s v="TuyenPV"/>
    <d v="2017-03-30T00:00:00"/>
    <x v="8"/>
    <m/>
    <m/>
    <m/>
    <m/>
    <m/>
    <m/>
    <m/>
    <m/>
    <x v="2"/>
  </r>
  <r>
    <s v="PD"/>
    <s v="1.9.4.5"/>
    <m/>
    <s v="RV＆PM-Approval（Tuyen/Takeda★）"/>
    <s v="Takeda"/>
    <d v="2017-04-03T00:00:00"/>
    <x v="6"/>
    <m/>
    <m/>
    <m/>
    <m/>
    <m/>
    <m/>
    <m/>
    <m/>
    <x v="2"/>
  </r>
  <r>
    <s v="PD"/>
    <s v="1.9.5"/>
    <m/>
    <s v="アクター定義書"/>
    <m/>
    <m/>
    <x v="0"/>
    <m/>
    <m/>
    <m/>
    <m/>
    <m/>
    <m/>
    <m/>
    <m/>
    <x v="0"/>
  </r>
  <r>
    <s v="PD"/>
    <s v="1.9.6.4"/>
    <m/>
    <s v="不足分業務フローの再作成（Nieda）"/>
    <s v="Nieda"/>
    <d v="2017-03-29T00:00:00"/>
    <x v="5"/>
    <m/>
    <m/>
    <d v="2017-03-29T00:00:00"/>
    <d v="2017-03-31T00:00:00"/>
    <m/>
    <s v="Closed"/>
    <n v="1"/>
    <m/>
    <x v="3"/>
  </r>
  <r>
    <s v="PD"/>
    <s v="1.9.6.5"/>
    <m/>
    <s v="不足業務フローの意識あわせ（Nieda★/Tosaka/Tuyen）"/>
    <s v="Nieda"/>
    <d v="2017-03-29T00:00:00"/>
    <x v="6"/>
    <m/>
    <m/>
    <m/>
    <m/>
    <m/>
    <m/>
    <m/>
    <m/>
    <x v="3"/>
  </r>
  <r>
    <s v="PD"/>
    <s v="1.9.6.6"/>
    <m/>
    <s v="RV＆PM-Approval（Nieda/Tosaka/Tuyen/Takeda★）"/>
    <s v="Takeda"/>
    <d v="2017-04-03T00:00:00"/>
    <x v="6"/>
    <m/>
    <m/>
    <m/>
    <m/>
    <m/>
    <m/>
    <m/>
    <m/>
    <x v="3"/>
  </r>
  <r>
    <s v="PD"/>
    <s v="1.9.6"/>
    <m/>
    <s v="業務フロー（WMS/CMN）"/>
    <m/>
    <m/>
    <x v="0"/>
    <m/>
    <m/>
    <m/>
    <m/>
    <m/>
    <m/>
    <m/>
    <m/>
    <x v="0"/>
  </r>
  <r>
    <s v="PD"/>
    <s v="1.9.6.8"/>
    <m/>
    <s v="不足分業務フローの再作成（Nieda）"/>
    <s v="Nieda"/>
    <d v="2017-03-29T00:00:00"/>
    <x v="9"/>
    <m/>
    <m/>
    <m/>
    <m/>
    <m/>
    <m/>
    <m/>
    <m/>
    <x v="2"/>
  </r>
  <r>
    <s v="PD"/>
    <s v="1.9.6.9"/>
    <m/>
    <s v="不足業務フローの意識あわせ（Nieda★/Tosaka/Tuyen）"/>
    <s v="Nieda"/>
    <d v="2017-04-13T00:00:00"/>
    <x v="9"/>
    <m/>
    <m/>
    <m/>
    <m/>
    <m/>
    <m/>
    <m/>
    <m/>
    <x v="2"/>
  </r>
  <r>
    <s v="PD"/>
    <s v="1.9.6.10"/>
    <m/>
    <s v="RV＆PM-Approval（Nieda/Tosaka/Tuyen/Takeda★）"/>
    <s v="Takeda"/>
    <d v="2017-04-14T00:00:00"/>
    <x v="10"/>
    <m/>
    <m/>
    <m/>
    <m/>
    <m/>
    <m/>
    <m/>
    <m/>
    <x v="2"/>
  </r>
  <r>
    <s v="PD"/>
    <s v="1.9.7"/>
    <m/>
    <s v="機能一覧（WMS/CMN）"/>
    <m/>
    <m/>
    <x v="0"/>
    <m/>
    <m/>
    <m/>
    <m/>
    <m/>
    <m/>
    <m/>
    <m/>
    <x v="0"/>
  </r>
  <r>
    <s v="PD"/>
    <s v="1.9.7.8"/>
    <m/>
    <s v="機能一覧の記載内容角に及び修正（Nieda/Tosaka★/Tin）"/>
    <s v="Tosaka"/>
    <d v="2017-03-29T00:00:00"/>
    <x v="4"/>
    <m/>
    <m/>
    <d v="2017-03-29T00:00:00"/>
    <d v="2017-03-30T00:00:00"/>
    <m/>
    <s v="Closed"/>
    <n v="1"/>
    <m/>
    <x v="3"/>
  </r>
  <r>
    <s v="PD"/>
    <s v="1.9.7.9"/>
    <m/>
    <s v="上記修正が完了したあとにSub-Project1/Ph1のScopeを明確にする。※ABEの案件Scope確定のため（Nieda/Tosaka/Tin★）"/>
    <s v="TinHD"/>
    <d v="2017-03-29T00:00:00"/>
    <x v="4"/>
    <m/>
    <m/>
    <d v="2017-03-30T00:00:00"/>
    <d v="2017-03-30T00:00:00"/>
    <m/>
    <s v="Closed"/>
    <n v="1"/>
    <m/>
    <x v="3"/>
  </r>
  <r>
    <s v="PD"/>
    <s v="1.9.7.10"/>
    <m/>
    <s v="RV（Nieda★/Tosaka/Tin）"/>
    <s v="Nieda"/>
    <d v="2017-03-29T00:00:00"/>
    <x v="4"/>
    <m/>
    <m/>
    <d v="2017-03-30T00:00:00"/>
    <d v="2017-03-30T00:00:00"/>
    <m/>
    <s v="Closed"/>
    <n v="1"/>
    <m/>
    <x v="3"/>
  </r>
  <r>
    <s v="PD"/>
    <s v="1.9.7.11"/>
    <m/>
    <s v="PM-Approval（Nieda/Tosaka/Tin/武田★）"/>
    <s v="Takeda"/>
    <d v="2017-03-29T00:00:00"/>
    <x v="4"/>
    <m/>
    <m/>
    <m/>
    <m/>
    <m/>
    <m/>
    <m/>
    <m/>
    <x v="3"/>
  </r>
  <r>
    <s v="PD"/>
    <s v="1.9.8"/>
    <m/>
    <s v="UI標準"/>
    <m/>
    <m/>
    <x v="0"/>
    <m/>
    <m/>
    <m/>
    <m/>
    <m/>
    <m/>
    <m/>
    <m/>
    <x v="0"/>
  </r>
  <r>
    <s v="PD"/>
    <s v="1.9.8.8"/>
    <m/>
    <s v="資料作成（Khoa）"/>
    <s v="KhoaMD"/>
    <d v="2017-03-30T00:00:00"/>
    <x v="6"/>
    <m/>
    <m/>
    <m/>
    <m/>
    <m/>
    <m/>
    <m/>
    <m/>
    <x v="4"/>
  </r>
  <r>
    <s v="PD"/>
    <s v="1.9.8.9"/>
    <m/>
    <s v="RV＆PM-Approval（Khoa/武田★）"/>
    <s v="Takeda"/>
    <d v="2017-04-04T00:00:00"/>
    <x v="3"/>
    <m/>
    <m/>
    <m/>
    <m/>
    <m/>
    <m/>
    <m/>
    <m/>
    <x v="4"/>
  </r>
  <r>
    <s v="PD"/>
    <s v="1.9.9"/>
    <m/>
    <s v="画面定義書（WMS/CMN）"/>
    <m/>
    <m/>
    <x v="0"/>
    <m/>
    <m/>
    <m/>
    <m/>
    <m/>
    <m/>
    <m/>
    <m/>
    <x v="0"/>
  </r>
  <r>
    <s v="PD"/>
    <s v="1.9.9.8"/>
    <m/>
    <s v="作成状況確認（Khoa/Tosaka）"/>
    <s v="KhoaMD"/>
    <d v="2017-03-30T00:00:00"/>
    <x v="8"/>
    <m/>
    <m/>
    <d v="2017-03-31T00:00:00"/>
    <d v="2017-03-31T00:00:00"/>
    <m/>
    <s v="Closed"/>
    <n v="1"/>
    <m/>
    <x v="3"/>
  </r>
  <r>
    <s v="PD"/>
    <s v="1.9.9.9"/>
    <m/>
    <s v="贄田さんコメントの取込状況の展開（Khoa/Tosaka）"/>
    <s v="Tosaka"/>
    <d v="2017-03-31T00:00:00"/>
    <x v="8"/>
    <m/>
    <m/>
    <d v="2017-03-31T00:00:00"/>
    <d v="2017-03-31T00:00:00"/>
    <m/>
    <s v="Closed"/>
    <n v="1"/>
    <m/>
    <x v="3"/>
  </r>
  <r>
    <s v="PD"/>
    <s v="1.9.9.10"/>
    <m/>
    <s v="作成不足分のL3Schedule作成（Khoa/Thinh★）"/>
    <s v="ThinhNH"/>
    <d v="2017-03-31T00:00:00"/>
    <x v="8"/>
    <m/>
    <m/>
    <m/>
    <m/>
    <m/>
    <s v="Cancel"/>
    <m/>
    <m/>
    <x v="3"/>
  </r>
  <r>
    <s v="PD"/>
    <s v="1.9.9.11"/>
    <m/>
    <s v="不足分の作成（PG：Shedule ManagementはThinh 作成方法についてのPGサポートはTLおよびKhoa）"/>
    <s v="ThinhNH"/>
    <d v="2017-03-31T00:00:00"/>
    <x v="6"/>
    <m/>
    <m/>
    <d v="2017-03-31T00:00:00"/>
    <d v="2017-03-31T00:00:00"/>
    <m/>
    <s v="Closed"/>
    <n v="1"/>
    <m/>
    <x v="3"/>
  </r>
  <r>
    <s v="PD"/>
    <s v="1.9.9.12"/>
    <m/>
    <s v="RV（TL ※RVerはKhoaくんがAssignmentしてください）"/>
    <s v="KhoaMD"/>
    <d v="2017-03-31T00:00:00"/>
    <x v="6"/>
    <m/>
    <m/>
    <d v="2017-04-03T00:00:00"/>
    <d v="2017-04-03T00:00:00"/>
    <m/>
    <s v="Closed"/>
    <n v="1"/>
    <m/>
    <x v="3"/>
  </r>
  <r>
    <s v="PD"/>
    <s v="1.9.9.13"/>
    <m/>
    <s v="Approval（Khoa/Tosaka）"/>
    <s v="KhoaMD"/>
    <d v="2017-04-04T00:00:00"/>
    <x v="3"/>
    <m/>
    <m/>
    <m/>
    <m/>
    <m/>
    <m/>
    <m/>
    <m/>
    <x v="3"/>
  </r>
  <r>
    <s v="PD"/>
    <s v="1.9.9.14"/>
    <m/>
    <s v="Sample RV（Khoa/Takeda★）"/>
    <s v="Takeda"/>
    <d v="2017-04-04T00:00:00"/>
    <x v="3"/>
    <m/>
    <m/>
    <m/>
    <m/>
    <m/>
    <m/>
    <m/>
    <m/>
    <x v="3"/>
  </r>
  <r>
    <s v="PD"/>
    <s v="1.9.10"/>
    <m/>
    <s v="帳票定義書（WMS/CMN）"/>
    <m/>
    <m/>
    <x v="0"/>
    <m/>
    <m/>
    <m/>
    <m/>
    <m/>
    <m/>
    <m/>
    <m/>
    <x v="0"/>
  </r>
  <r>
    <s v="PD"/>
    <s v="1.9.10.8"/>
    <m/>
    <s v="作成状況確認（Khoa）"/>
    <s v="KhoaMD"/>
    <d v="2017-03-30T00:00:00"/>
    <x v="8"/>
    <m/>
    <m/>
    <d v="2017-03-31T00:00:00"/>
    <d v="2017-04-03T00:00:00"/>
    <m/>
    <s v="Closed"/>
    <n v="1"/>
    <m/>
    <x v="3"/>
  </r>
  <r>
    <s v="PD"/>
    <s v="1.9.10.9"/>
    <m/>
    <s v="作成不足分のL3Schedule作成（Khoa/Thinh★）"/>
    <s v="ThinhNH"/>
    <d v="2017-03-31T00:00:00"/>
    <x v="8"/>
    <m/>
    <m/>
    <m/>
    <m/>
    <m/>
    <s v="Cancel"/>
    <m/>
    <m/>
    <x v="3"/>
  </r>
  <r>
    <s v="PD"/>
    <s v="1.9.10.10"/>
    <m/>
    <s v="不足分の作成（PG：Shedule ManagementはThinh 作成方法についてのPGサポートはTLおよびKhoa）"/>
    <s v="ThinhNH"/>
    <d v="2017-03-31T00:00:00"/>
    <x v="6"/>
    <m/>
    <m/>
    <d v="2017-03-31T00:00:00"/>
    <d v="2017-03-31T00:00:00"/>
    <m/>
    <s v="Closed"/>
    <n v="1"/>
    <m/>
    <x v="3"/>
  </r>
  <r>
    <s v="PD"/>
    <s v="1.9.10.11"/>
    <m/>
    <s v="RV（TL ※RVerはKhoaくんがAssignmentしてください）"/>
    <s v="KhoaMD"/>
    <d v="2017-03-31T00:00:00"/>
    <x v="6"/>
    <m/>
    <m/>
    <m/>
    <m/>
    <m/>
    <m/>
    <m/>
    <m/>
    <x v="3"/>
  </r>
  <r>
    <s v="PD"/>
    <s v="1.9.10.12"/>
    <m/>
    <s v="Approval（Khoa）"/>
    <s v="KhoaMD"/>
    <d v="2017-04-04T00:00:00"/>
    <x v="3"/>
    <m/>
    <m/>
    <m/>
    <m/>
    <m/>
    <m/>
    <m/>
    <m/>
    <x v="3"/>
  </r>
  <r>
    <s v="PD"/>
    <s v="1.9.10.13"/>
    <m/>
    <s v="Sample RV（Khoa/Takeda★）"/>
    <s v="Takeda"/>
    <d v="2017-04-04T00:00:00"/>
    <x v="3"/>
    <m/>
    <m/>
    <m/>
    <m/>
    <m/>
    <m/>
    <m/>
    <m/>
    <x v="3"/>
  </r>
  <r>
    <s v="PD"/>
    <s v="1.9.11"/>
    <m/>
    <s v="画面一覧（WMS/CMN）"/>
    <m/>
    <m/>
    <x v="0"/>
    <m/>
    <m/>
    <m/>
    <m/>
    <m/>
    <m/>
    <m/>
    <m/>
    <x v="0"/>
  </r>
  <r>
    <s v="PD"/>
    <s v="1.9.11.8"/>
    <m/>
    <s v="PGもしくはTLへの作成指示（Khoa★/Tuyen/Thinh）"/>
    <s v="KhoaMD"/>
    <d v="2017-03-30T00:00:00"/>
    <x v="4"/>
    <m/>
    <m/>
    <d v="2017-03-30T00:00:00"/>
    <d v="2017-03-30T00:00:00"/>
    <m/>
    <s v="Closed"/>
    <n v="1"/>
    <m/>
    <x v="3"/>
  </r>
  <r>
    <s v="PD"/>
    <s v="1.9.11.9"/>
    <m/>
    <s v="RV（TL ※RVerはKhoaくんがAssignmentしてください）"/>
    <s v="KhoaMD"/>
    <d v="2017-03-30T00:00:00"/>
    <x v="4"/>
    <m/>
    <m/>
    <d v="2017-03-30T00:00:00"/>
    <d v="2017-03-30T00:00:00"/>
    <m/>
    <s v="Closed"/>
    <n v="1"/>
    <m/>
    <x v="3"/>
  </r>
  <r>
    <s v="PD"/>
    <s v="1.9.11.10"/>
    <m/>
    <s v="Approval（Tuyen/Thinh）"/>
    <s v="ThinhNH"/>
    <d v="2017-03-30T00:00:00"/>
    <x v="4"/>
    <m/>
    <m/>
    <d v="2017-03-30T00:00:00"/>
    <d v="2017-03-31T00:00:00"/>
    <m/>
    <s v="Closed"/>
    <n v="1"/>
    <m/>
    <x v="3"/>
  </r>
  <r>
    <s v="PD"/>
    <s v="1.9.11.11"/>
    <m/>
    <s v="Sample RV（Tuyen/Thinh /Takeda★）"/>
    <s v="Takeda"/>
    <d v="2017-03-31T00:00:00"/>
    <x v="8"/>
    <m/>
    <m/>
    <d v="2017-03-31T00:00:00"/>
    <m/>
    <m/>
    <s v="On-going"/>
    <n v="0.5"/>
    <m/>
    <x v="3"/>
  </r>
  <r>
    <s v="PD"/>
    <s v="1.9.12"/>
    <m/>
    <s v="帳票一覧（WMS/CMN）"/>
    <m/>
    <m/>
    <x v="0"/>
    <m/>
    <m/>
    <m/>
    <m/>
    <m/>
    <m/>
    <m/>
    <m/>
    <x v="0"/>
  </r>
  <r>
    <s v="PD"/>
    <s v="1.9.12.8"/>
    <m/>
    <s v="PGもしくはTLへの作成指示（Khoa★/Tuyen/Thinh）"/>
    <s v="KhoaMD"/>
    <d v="2017-03-30T00:00:00"/>
    <x v="4"/>
    <m/>
    <m/>
    <d v="2017-03-30T00:00:00"/>
    <d v="2017-03-30T00:00:00"/>
    <m/>
    <s v="Closed"/>
    <n v="1"/>
    <m/>
    <x v="3"/>
  </r>
  <r>
    <s v="PD"/>
    <s v="1.9.12.9"/>
    <m/>
    <s v="RV（TL ※RVerはKhoaくんがAssignmentしてください）"/>
    <s v="KhoaMD"/>
    <d v="2017-03-30T00:00:00"/>
    <x v="4"/>
    <m/>
    <m/>
    <d v="2017-03-30T00:00:00"/>
    <d v="2017-03-30T00:00:00"/>
    <m/>
    <s v="Closed"/>
    <n v="1"/>
    <m/>
    <x v="3"/>
  </r>
  <r>
    <s v="PD"/>
    <s v="1.9.12.10"/>
    <m/>
    <s v="Approval（Tuyen/Thinh）"/>
    <s v="ThinhNH"/>
    <d v="2017-03-30T00:00:00"/>
    <x v="4"/>
    <m/>
    <m/>
    <d v="2017-03-30T00:00:00"/>
    <d v="2017-03-31T00:00:00"/>
    <m/>
    <s v="Closed"/>
    <n v="1"/>
    <m/>
    <x v="3"/>
  </r>
  <r>
    <s v="PD"/>
    <s v="1.9.12.11"/>
    <m/>
    <s v="Sample RV（Tuyen/Thinh /Takeda★）"/>
    <s v="Takeda"/>
    <d v="2017-03-31T00:00:00"/>
    <x v="8"/>
    <m/>
    <m/>
    <d v="2017-03-31T00:00:00"/>
    <m/>
    <m/>
    <s v="On-going"/>
    <n v="0.5"/>
    <m/>
    <x v="3"/>
  </r>
  <r>
    <s v="PD"/>
    <s v="1.9.13"/>
    <m/>
    <s v="ER図（WMS/CMN）"/>
    <m/>
    <m/>
    <x v="0"/>
    <m/>
    <m/>
    <m/>
    <m/>
    <m/>
    <m/>
    <m/>
    <m/>
    <x v="0"/>
  </r>
  <r>
    <s v="PD"/>
    <s v="1.9.13.1"/>
    <m/>
    <s v="ER-Diagramの修正（Tosaka）"/>
    <s v="Tosaka"/>
    <d v="2017-03-29T00:00:00"/>
    <x v="8"/>
    <m/>
    <m/>
    <d v="2017-03-29T00:00:00"/>
    <d v="2017-03-30T00:00:00"/>
    <m/>
    <s v="Closed"/>
    <n v="1"/>
    <m/>
    <x v="4"/>
  </r>
  <r>
    <s v="PD"/>
    <s v="1.9.13.2"/>
    <m/>
    <s v="エンティティ定義書のExport（Tosaka）※この作業はTLに振ってもよし"/>
    <s v="Tosaka"/>
    <d v="2017-03-29T00:00:00"/>
    <x v="8"/>
    <m/>
    <m/>
    <d v="2017-03-30T00:00:00"/>
    <d v="2017-03-30T00:00:00"/>
    <m/>
    <s v="Closed"/>
    <n v="1"/>
    <m/>
    <x v="4"/>
  </r>
  <r>
    <s v="PD"/>
    <s v="1.9.13.3"/>
    <m/>
    <s v="RV（Tosaka/Tuyen/Khoa/Tin/Thinh/武田）"/>
    <s v="PM"/>
    <d v="2017-03-31T00:00:00"/>
    <x v="8"/>
    <m/>
    <m/>
    <d v="2017-03-30T00:00:00"/>
    <m/>
    <m/>
    <s v="On-going"/>
    <n v="0.5"/>
    <m/>
    <x v="4"/>
  </r>
  <r>
    <s v="PD"/>
    <s v="1.9.13.4"/>
    <m/>
    <s v="Approval（Takeda）"/>
    <s v="Takeda"/>
    <d v="2017-04-03T00:00:00"/>
    <x v="3"/>
    <m/>
    <m/>
    <m/>
    <m/>
    <m/>
    <m/>
    <m/>
    <m/>
    <x v="4"/>
  </r>
  <r>
    <s v="PD"/>
    <s v="1.9.14"/>
    <m/>
    <s v="エンティティ定義書（WMS/CMN）_x000a_エンティティ一覧（WMS/CMN）"/>
    <m/>
    <m/>
    <x v="0"/>
    <m/>
    <m/>
    <m/>
    <m/>
    <m/>
    <m/>
    <m/>
    <m/>
    <x v="0"/>
  </r>
  <r>
    <s v="PD"/>
    <s v="1.9.13.6"/>
    <m/>
    <s v="ER-Diagramの修正（Tosaka）"/>
    <s v="Tosaka"/>
    <d v="2017-03-29T00:00:00"/>
    <x v="8"/>
    <m/>
    <m/>
    <d v="2017-03-29T00:00:00"/>
    <d v="2017-03-30T00:00:00"/>
    <m/>
    <s v="Closed"/>
    <n v="1"/>
    <m/>
    <x v="4"/>
  </r>
  <r>
    <s v="PD"/>
    <s v="1.9.13.7"/>
    <m/>
    <s v="エンティティ定義書のExport（Tosaka）※この作業はTLに振ってもよし"/>
    <s v="Tosaka"/>
    <d v="2017-03-29T00:00:00"/>
    <x v="8"/>
    <m/>
    <m/>
    <d v="2017-03-30T00:00:00"/>
    <d v="2017-03-30T00:00:00"/>
    <m/>
    <s v="Closed"/>
    <n v="1"/>
    <m/>
    <x v="4"/>
  </r>
  <r>
    <s v="PD"/>
    <s v="1.9.13.8"/>
    <m/>
    <s v="RV（Tosaka/Tuyen/Khoa/Tin/Thinh/武田）"/>
    <s v="PM"/>
    <d v="2017-03-31T00:00:00"/>
    <x v="8"/>
    <m/>
    <m/>
    <m/>
    <m/>
    <m/>
    <m/>
    <m/>
    <m/>
    <x v="4"/>
  </r>
  <r>
    <s v="PD"/>
    <s v="1.9.13.9"/>
    <m/>
    <s v="Approval（Takeda）"/>
    <s v="Takeda"/>
    <d v="2017-04-03T00:00:00"/>
    <x v="3"/>
    <m/>
    <m/>
    <m/>
    <m/>
    <m/>
    <m/>
    <m/>
    <m/>
    <x v="4"/>
  </r>
  <r>
    <s v="PD"/>
    <s v="1.9.15"/>
    <m/>
    <s v="命名規則/辞書"/>
    <m/>
    <m/>
    <x v="0"/>
    <m/>
    <m/>
    <m/>
    <m/>
    <m/>
    <m/>
    <m/>
    <m/>
    <x v="0"/>
  </r>
  <r>
    <s v="PD"/>
    <s v="1.9.15.1"/>
    <m/>
    <s v="記載内容確認（Tosaka★/Tuyen）"/>
    <s v="Tosaka"/>
    <d v="2017-04-10T00:00:00"/>
    <x v="2"/>
    <m/>
    <m/>
    <m/>
    <m/>
    <m/>
    <m/>
    <m/>
    <m/>
    <x v="1"/>
  </r>
  <r>
    <s v="PD"/>
    <s v="1.9.15.2"/>
    <m/>
    <s v="RV＆PM-Approval（Tosaka★/Tuyen）"/>
    <s v="Takeda"/>
    <d v="2017-04-11T00:00:00"/>
    <x v="11"/>
    <m/>
    <m/>
    <m/>
    <m/>
    <m/>
    <m/>
    <m/>
    <m/>
    <x v="1"/>
  </r>
  <r>
    <s v="PD"/>
    <s v="1.9.16"/>
    <m/>
    <s v="外部インターフェース一覧"/>
    <m/>
    <m/>
    <x v="0"/>
    <m/>
    <m/>
    <m/>
    <m/>
    <m/>
    <m/>
    <m/>
    <m/>
    <x v="0"/>
  </r>
  <r>
    <s v="PD"/>
    <s v="1.9.16.1"/>
    <m/>
    <s v="PGもしくはTLへの作成指示（Khoa★/Tuyen/Thinh）"/>
    <s v="KhoaMD"/>
    <d v="2017-03-30T00:00:00"/>
    <x v="3"/>
    <m/>
    <m/>
    <m/>
    <m/>
    <m/>
    <m/>
    <m/>
    <m/>
    <x v="4"/>
  </r>
  <r>
    <s v="PD"/>
    <s v="1.9.16.2"/>
    <m/>
    <s v="RV（TL ※RVerはKhoaくんがAssignmentしてください）"/>
    <s v="KhoaMD"/>
    <d v="2017-04-05T00:00:00"/>
    <x v="1"/>
    <m/>
    <m/>
    <m/>
    <m/>
    <m/>
    <m/>
    <m/>
    <m/>
    <x v="4"/>
  </r>
  <r>
    <s v="PD"/>
    <s v="1.9.16.3"/>
    <m/>
    <s v="Approval（Tuyen/Thinh）"/>
    <s v="TuyenPV"/>
    <d v="2017-04-10T00:00:00"/>
    <x v="2"/>
    <m/>
    <m/>
    <m/>
    <m/>
    <m/>
    <m/>
    <m/>
    <m/>
    <x v="4"/>
  </r>
  <r>
    <s v="PD"/>
    <s v="1.9.16.4"/>
    <m/>
    <s v="Sample RV（Tuyen/Thinh /Takeda★）"/>
    <s v="Takeda"/>
    <d v="2017-04-10T00:00:00"/>
    <x v="2"/>
    <m/>
    <m/>
    <m/>
    <m/>
    <m/>
    <m/>
    <m/>
    <m/>
    <x v="4"/>
  </r>
  <r>
    <s v="PD"/>
    <s v="1.9.17"/>
    <m/>
    <s v="開発パッケージ構成ポリシー"/>
    <m/>
    <m/>
    <x v="0"/>
    <m/>
    <m/>
    <m/>
    <m/>
    <m/>
    <m/>
    <m/>
    <m/>
    <x v="0"/>
  </r>
  <r>
    <s v="PD"/>
    <s v="1.9.17.1"/>
    <m/>
    <s v="検討会の実施（Tosaka/Tin/Khoa/Tuyen/Huan/Vy/My）"/>
    <s v="Tosaka"/>
    <d v="2017-03-30T00:00:00"/>
    <x v="6"/>
    <m/>
    <m/>
    <m/>
    <m/>
    <m/>
    <m/>
    <m/>
    <m/>
    <x v="0"/>
  </r>
  <r>
    <s v="PD"/>
    <s v="1.9.17.2"/>
    <m/>
    <s v="ドキュメントの作成（アサインはTosakaさんにまかせます）"/>
    <s v="Tosaka"/>
    <m/>
    <x v="1"/>
    <m/>
    <m/>
    <m/>
    <m/>
    <m/>
    <m/>
    <m/>
    <m/>
    <x v="0"/>
  </r>
  <r>
    <s v="PD"/>
    <s v="1.9.17.3"/>
    <m/>
    <s v="RV＆PM-Approval（Tosaka/Tin/Khoa/Tuyen/Takeda★）"/>
    <s v="Takeda"/>
    <d v="2017-04-10T00:00:00"/>
    <x v="2"/>
    <m/>
    <m/>
    <m/>
    <m/>
    <m/>
    <m/>
    <m/>
    <m/>
    <x v="0"/>
  </r>
  <r>
    <s v="PD"/>
    <s v="1.9.18"/>
    <m/>
    <s v="営業TOOLキット"/>
    <m/>
    <m/>
    <x v="0"/>
    <m/>
    <m/>
    <m/>
    <m/>
    <m/>
    <m/>
    <m/>
    <m/>
    <x v="0"/>
  </r>
  <r>
    <s v="PD"/>
    <s v="1.9.18.1"/>
    <m/>
    <s v="・Business Flow（Tosaka/Nieda）"/>
    <m/>
    <m/>
    <x v="0"/>
    <m/>
    <m/>
    <m/>
    <m/>
    <m/>
    <m/>
    <m/>
    <m/>
    <x v="0"/>
  </r>
  <r>
    <s v="PD"/>
    <s v="1.9.18.2"/>
    <m/>
    <s v="・Business Rule（Tosaka/Nieda）"/>
    <m/>
    <m/>
    <x v="0"/>
    <m/>
    <m/>
    <m/>
    <m/>
    <m/>
    <m/>
    <m/>
    <m/>
    <x v="0"/>
  </r>
  <r>
    <s v="PD"/>
    <s v="1.9.18.3"/>
    <m/>
    <s v="・Screen MockUp（Khoa）"/>
    <m/>
    <m/>
    <x v="0"/>
    <m/>
    <m/>
    <m/>
    <m/>
    <m/>
    <m/>
    <m/>
    <m/>
    <x v="0"/>
  </r>
  <r>
    <s v="PD"/>
    <s v="1.9.18.4"/>
    <m/>
    <s v="・Screen List（Tuyen/Thinh）"/>
    <m/>
    <m/>
    <x v="0"/>
    <m/>
    <m/>
    <m/>
    <m/>
    <m/>
    <m/>
    <m/>
    <m/>
    <x v="0"/>
  </r>
  <r>
    <s v="PD"/>
    <s v="1.9.18.5"/>
    <m/>
    <s v="・Function List（Tosaka/Tin）"/>
    <m/>
    <m/>
    <x v="0"/>
    <m/>
    <m/>
    <m/>
    <m/>
    <m/>
    <m/>
    <m/>
    <m/>
    <x v="0"/>
  </r>
  <r>
    <s v="PD"/>
    <s v="1.9.18.6"/>
    <m/>
    <s v="・Report List（Tuyen/Thinh）"/>
    <m/>
    <m/>
    <x v="0"/>
    <m/>
    <m/>
    <m/>
    <m/>
    <m/>
    <m/>
    <m/>
    <m/>
    <x v="0"/>
  </r>
  <r>
    <s v="PD"/>
    <s v="1.9.18.7"/>
    <m/>
    <s v="各ドキュメントの作成およびRV（各責任者）"/>
    <m/>
    <m/>
    <x v="0"/>
    <m/>
    <m/>
    <m/>
    <m/>
    <m/>
    <m/>
    <m/>
    <m/>
    <x v="0"/>
  </r>
  <r>
    <s v="PD"/>
    <s v="1.9.18.8"/>
    <m/>
    <s v="PM-Approval（各責任者と武田）"/>
    <m/>
    <m/>
    <x v="0"/>
    <m/>
    <m/>
    <m/>
    <m/>
    <m/>
    <m/>
    <m/>
    <m/>
    <x v="0"/>
  </r>
  <r>
    <s v="PD"/>
    <s v="1.9.18.9"/>
    <m/>
    <s v="贄田さんに格納場所の連絡（武田）"/>
    <s v="Takeda"/>
    <d v="2017-04-04T00:00:00"/>
    <x v="3"/>
    <m/>
    <m/>
    <m/>
    <m/>
    <m/>
    <m/>
    <m/>
    <m/>
    <x v="3"/>
  </r>
  <r>
    <m/>
    <m/>
    <m/>
    <m/>
    <m/>
    <m/>
    <x v="0"/>
    <m/>
    <m/>
    <m/>
    <m/>
    <m/>
    <m/>
    <m/>
    <m/>
    <x v="0"/>
  </r>
  <r>
    <s v="RD"/>
    <n v="2.1"/>
    <m/>
    <s v="ビジネス概要"/>
    <m/>
    <m/>
    <x v="0"/>
    <m/>
    <m/>
    <m/>
    <m/>
    <m/>
    <m/>
    <m/>
    <m/>
    <x v="0"/>
  </r>
  <r>
    <s v="RD"/>
    <s v="2.1.1"/>
    <m/>
    <s v="ビジネス概要作成"/>
    <m/>
    <m/>
    <x v="0"/>
    <m/>
    <m/>
    <m/>
    <m/>
    <m/>
    <m/>
    <m/>
    <m/>
    <x v="0"/>
  </r>
  <r>
    <s v="RD"/>
    <s v="2.1.2"/>
    <m/>
    <s v="ビジネス概要Rv"/>
    <m/>
    <m/>
    <x v="0"/>
    <m/>
    <m/>
    <m/>
    <m/>
    <m/>
    <m/>
    <m/>
    <m/>
    <x v="0"/>
  </r>
  <r>
    <s v="RD"/>
    <s v="2.1.3"/>
    <m/>
    <s v="ビジネス概要Rv反映"/>
    <m/>
    <m/>
    <x v="0"/>
    <m/>
    <m/>
    <m/>
    <m/>
    <m/>
    <m/>
    <m/>
    <m/>
    <x v="0"/>
  </r>
  <r>
    <s v="RD"/>
    <s v="2.1.4"/>
    <m/>
    <s v="ビジネス概要承認"/>
    <m/>
    <m/>
    <x v="0"/>
    <m/>
    <m/>
    <m/>
    <m/>
    <m/>
    <m/>
    <m/>
    <m/>
    <x v="0"/>
  </r>
  <r>
    <s v="RD"/>
    <n v="2.2000000000000002"/>
    <m/>
    <s v="ビジネスルール定義書（WMS/CMN）"/>
    <m/>
    <m/>
    <x v="0"/>
    <m/>
    <m/>
    <m/>
    <m/>
    <m/>
    <m/>
    <m/>
    <m/>
    <x v="0"/>
  </r>
  <r>
    <s v="RD"/>
    <s v="2.2.1"/>
    <m/>
    <s v="ビジネスルール定義書（WMS/CMN）作成"/>
    <m/>
    <m/>
    <x v="0"/>
    <m/>
    <m/>
    <m/>
    <m/>
    <m/>
    <m/>
    <m/>
    <m/>
    <x v="0"/>
  </r>
  <r>
    <s v="RD"/>
    <s v="2.2.2"/>
    <m/>
    <s v="ビジネスルール定義書（WMS/CMN）Rv"/>
    <m/>
    <m/>
    <x v="0"/>
    <m/>
    <m/>
    <m/>
    <m/>
    <m/>
    <m/>
    <m/>
    <m/>
    <x v="0"/>
  </r>
  <r>
    <s v="RD"/>
    <s v="2.2.3"/>
    <m/>
    <s v="ビジネスルール定義書（WMS/CMN）Rv反映"/>
    <m/>
    <m/>
    <x v="0"/>
    <m/>
    <m/>
    <m/>
    <m/>
    <m/>
    <m/>
    <m/>
    <m/>
    <x v="0"/>
  </r>
  <r>
    <s v="RD"/>
    <s v="2.2.4"/>
    <m/>
    <s v="ビジネスルール定義書（WMS/CMN）承認"/>
    <m/>
    <m/>
    <x v="0"/>
    <m/>
    <m/>
    <m/>
    <m/>
    <m/>
    <m/>
    <m/>
    <m/>
    <x v="0"/>
  </r>
  <r>
    <s v="RD"/>
    <n v="2.2999999999999998"/>
    <m/>
    <s v="非機能定義書（WMS/CMN）"/>
    <m/>
    <m/>
    <x v="0"/>
    <m/>
    <m/>
    <m/>
    <m/>
    <m/>
    <m/>
    <m/>
    <m/>
    <x v="0"/>
  </r>
  <r>
    <s v="RD"/>
    <s v="2.3.1"/>
    <m/>
    <s v="非機能定義書（WMS/CMN）作成"/>
    <m/>
    <m/>
    <x v="0"/>
    <m/>
    <m/>
    <m/>
    <m/>
    <m/>
    <m/>
    <m/>
    <m/>
    <x v="0"/>
  </r>
  <r>
    <s v="RD"/>
    <s v="2.3.2"/>
    <m/>
    <s v="非機能定義書（WMS/CMN）Rv"/>
    <m/>
    <m/>
    <x v="0"/>
    <m/>
    <m/>
    <m/>
    <m/>
    <m/>
    <m/>
    <m/>
    <m/>
    <x v="0"/>
  </r>
  <r>
    <s v="RD"/>
    <s v="2.3.3"/>
    <m/>
    <s v="非機能定義書（WMS/CMN）Rv反映"/>
    <m/>
    <m/>
    <x v="0"/>
    <m/>
    <m/>
    <m/>
    <m/>
    <m/>
    <m/>
    <m/>
    <m/>
    <x v="0"/>
  </r>
  <r>
    <s v="RD"/>
    <s v="2.3.4"/>
    <m/>
    <s v="非機能定義書（WMS/CMN）承認"/>
    <m/>
    <m/>
    <x v="0"/>
    <m/>
    <m/>
    <m/>
    <m/>
    <m/>
    <m/>
    <m/>
    <m/>
    <x v="0"/>
  </r>
  <r>
    <s v="RD"/>
    <n v="2.4"/>
    <m/>
    <s v="システム構成図/ネットワーク構成図"/>
    <m/>
    <m/>
    <x v="0"/>
    <m/>
    <m/>
    <m/>
    <m/>
    <m/>
    <m/>
    <m/>
    <m/>
    <x v="0"/>
  </r>
  <r>
    <s v="RD"/>
    <s v="2.4.1"/>
    <m/>
    <s v="システム構成図/ネットワーク構成図作成"/>
    <m/>
    <m/>
    <x v="0"/>
    <m/>
    <m/>
    <m/>
    <m/>
    <m/>
    <m/>
    <m/>
    <m/>
    <x v="0"/>
  </r>
  <r>
    <s v="RD"/>
    <s v="2.4.2"/>
    <m/>
    <s v="システム構成図/ネットワーク構成図Rv"/>
    <m/>
    <m/>
    <x v="0"/>
    <m/>
    <m/>
    <m/>
    <m/>
    <m/>
    <m/>
    <m/>
    <m/>
    <x v="0"/>
  </r>
  <r>
    <s v="RD"/>
    <s v="2.4.3"/>
    <m/>
    <s v="システム構成図/ネットワーク構成図Rv反映"/>
    <m/>
    <m/>
    <x v="0"/>
    <m/>
    <m/>
    <m/>
    <m/>
    <m/>
    <m/>
    <m/>
    <m/>
    <x v="0"/>
  </r>
  <r>
    <s v="RD"/>
    <s v="2.4.4"/>
    <m/>
    <s v="システム構成図/ネットワーク構成図承認"/>
    <m/>
    <m/>
    <x v="0"/>
    <m/>
    <m/>
    <m/>
    <m/>
    <m/>
    <m/>
    <m/>
    <m/>
    <x v="0"/>
  </r>
  <r>
    <s v="RD"/>
    <n v="2.5"/>
    <m/>
    <s v="アクター定義書"/>
    <m/>
    <m/>
    <x v="0"/>
    <m/>
    <m/>
    <m/>
    <m/>
    <m/>
    <m/>
    <m/>
    <m/>
    <x v="0"/>
  </r>
  <r>
    <s v="RD"/>
    <s v="2.5.1"/>
    <m/>
    <s v="アクター定義書作成"/>
    <m/>
    <m/>
    <x v="0"/>
    <m/>
    <m/>
    <m/>
    <m/>
    <m/>
    <m/>
    <m/>
    <m/>
    <x v="0"/>
  </r>
  <r>
    <s v="RD"/>
    <s v="2.5.2"/>
    <m/>
    <s v="アクター定義書Rv"/>
    <m/>
    <m/>
    <x v="0"/>
    <m/>
    <m/>
    <m/>
    <m/>
    <m/>
    <m/>
    <m/>
    <m/>
    <x v="0"/>
  </r>
  <r>
    <s v="RD"/>
    <s v="2.5.3"/>
    <m/>
    <s v="アクター定義書Rv反映"/>
    <m/>
    <m/>
    <x v="0"/>
    <m/>
    <m/>
    <m/>
    <m/>
    <m/>
    <m/>
    <m/>
    <m/>
    <x v="0"/>
  </r>
  <r>
    <s v="RD"/>
    <s v="2.5.4"/>
    <m/>
    <s v="アクター定義書承認"/>
    <m/>
    <m/>
    <x v="0"/>
    <m/>
    <m/>
    <m/>
    <m/>
    <m/>
    <m/>
    <m/>
    <m/>
    <x v="0"/>
  </r>
  <r>
    <s v="RD"/>
    <n v="2.6"/>
    <m/>
    <s v="業務フロー（WMS/CMN）"/>
    <m/>
    <m/>
    <x v="0"/>
    <m/>
    <m/>
    <m/>
    <m/>
    <m/>
    <m/>
    <m/>
    <m/>
    <x v="0"/>
  </r>
  <r>
    <s v="RD"/>
    <s v="2.6.1"/>
    <m/>
    <s v="業務フロー（WMS/CMN）作成"/>
    <m/>
    <m/>
    <x v="0"/>
    <m/>
    <m/>
    <m/>
    <m/>
    <m/>
    <m/>
    <m/>
    <m/>
    <x v="0"/>
  </r>
  <r>
    <s v="RD"/>
    <s v="2.6.2"/>
    <m/>
    <s v="業務フロー（WMS/CMN）Rv"/>
    <m/>
    <m/>
    <x v="0"/>
    <m/>
    <m/>
    <m/>
    <m/>
    <m/>
    <m/>
    <m/>
    <m/>
    <x v="0"/>
  </r>
  <r>
    <s v="RD"/>
    <s v="2.6.3"/>
    <m/>
    <s v="業務フロー（WMS/CMN）Rv反映"/>
    <m/>
    <m/>
    <x v="0"/>
    <m/>
    <m/>
    <m/>
    <m/>
    <m/>
    <m/>
    <m/>
    <m/>
    <x v="0"/>
  </r>
  <r>
    <s v="RD"/>
    <s v="2.6.4"/>
    <m/>
    <s v="業務フロー（WMS/CMN）承認"/>
    <m/>
    <m/>
    <x v="0"/>
    <m/>
    <m/>
    <m/>
    <m/>
    <m/>
    <m/>
    <m/>
    <m/>
    <x v="0"/>
  </r>
  <r>
    <s v="RD"/>
    <n v="2.7"/>
    <m/>
    <s v="機能一覧（WMS/CMN）"/>
    <m/>
    <m/>
    <x v="0"/>
    <m/>
    <m/>
    <m/>
    <m/>
    <m/>
    <m/>
    <m/>
    <m/>
    <x v="0"/>
  </r>
  <r>
    <s v="RD"/>
    <s v="2.7.1"/>
    <m/>
    <s v="機能一覧（WMS/CMN）作成"/>
    <m/>
    <m/>
    <x v="0"/>
    <m/>
    <m/>
    <m/>
    <m/>
    <m/>
    <m/>
    <m/>
    <m/>
    <x v="0"/>
  </r>
  <r>
    <s v="RD"/>
    <s v="2.7.2"/>
    <m/>
    <s v="機能一覧（WMS/CMN）Rv"/>
    <m/>
    <m/>
    <x v="0"/>
    <m/>
    <m/>
    <m/>
    <m/>
    <m/>
    <m/>
    <m/>
    <m/>
    <x v="0"/>
  </r>
  <r>
    <s v="RD"/>
    <s v="2.7.3"/>
    <m/>
    <s v="機能一覧（WMS/CMN）Rv反映"/>
    <m/>
    <m/>
    <x v="0"/>
    <m/>
    <m/>
    <m/>
    <m/>
    <m/>
    <m/>
    <m/>
    <m/>
    <x v="0"/>
  </r>
  <r>
    <s v="RD"/>
    <s v="2.7.4"/>
    <m/>
    <s v="機能一覧（WMS/CMN）承認"/>
    <m/>
    <m/>
    <x v="0"/>
    <m/>
    <m/>
    <m/>
    <m/>
    <m/>
    <m/>
    <m/>
    <m/>
    <x v="0"/>
  </r>
  <r>
    <s v="RD"/>
    <n v="2.8"/>
    <m/>
    <s v="UI標準"/>
    <m/>
    <m/>
    <x v="0"/>
    <m/>
    <m/>
    <m/>
    <m/>
    <m/>
    <m/>
    <m/>
    <m/>
    <x v="0"/>
  </r>
  <r>
    <s v="RD"/>
    <s v="2.8.1"/>
    <m/>
    <s v="UI標準作成"/>
    <m/>
    <m/>
    <x v="0"/>
    <m/>
    <m/>
    <m/>
    <m/>
    <m/>
    <m/>
    <m/>
    <m/>
    <x v="0"/>
  </r>
  <r>
    <s v="RD"/>
    <s v="2.8.2"/>
    <m/>
    <s v="UI標準Rv"/>
    <m/>
    <m/>
    <x v="0"/>
    <m/>
    <m/>
    <m/>
    <m/>
    <m/>
    <m/>
    <m/>
    <m/>
    <x v="0"/>
  </r>
  <r>
    <s v="RD"/>
    <s v="2.8.3"/>
    <m/>
    <s v="UI標準Rv反映"/>
    <m/>
    <m/>
    <x v="0"/>
    <m/>
    <m/>
    <m/>
    <m/>
    <m/>
    <m/>
    <m/>
    <m/>
    <x v="0"/>
  </r>
  <r>
    <s v="RD"/>
    <s v="2.8.4"/>
    <m/>
    <s v="UI標準承認"/>
    <m/>
    <m/>
    <x v="0"/>
    <m/>
    <m/>
    <m/>
    <m/>
    <m/>
    <m/>
    <m/>
    <m/>
    <x v="0"/>
  </r>
  <r>
    <s v="RD"/>
    <n v="2.9"/>
    <m/>
    <s v="画面定義書（WMS/CMN）"/>
    <m/>
    <m/>
    <x v="0"/>
    <m/>
    <m/>
    <m/>
    <m/>
    <m/>
    <m/>
    <m/>
    <m/>
    <x v="0"/>
  </r>
  <r>
    <s v="RD"/>
    <s v="2.10"/>
    <m/>
    <s v="帳票定義書（WMS/CMN）"/>
    <m/>
    <m/>
    <x v="0"/>
    <m/>
    <m/>
    <m/>
    <m/>
    <m/>
    <m/>
    <m/>
    <m/>
    <x v="0"/>
  </r>
  <r>
    <s v="RD"/>
    <n v="2.11"/>
    <m/>
    <s v="画面一覧（WMS/CMN）"/>
    <m/>
    <m/>
    <x v="0"/>
    <m/>
    <m/>
    <m/>
    <m/>
    <m/>
    <m/>
    <m/>
    <m/>
    <x v="0"/>
  </r>
  <r>
    <s v="RD"/>
    <s v="2.11.1"/>
    <m/>
    <s v="画面一覧（WMS/CMN）作成"/>
    <m/>
    <m/>
    <x v="0"/>
    <m/>
    <m/>
    <m/>
    <m/>
    <m/>
    <m/>
    <m/>
    <m/>
    <x v="0"/>
  </r>
  <r>
    <s v="RD"/>
    <s v="2.11.2"/>
    <m/>
    <s v="画面一覧（WMS/CMN）Rv"/>
    <m/>
    <m/>
    <x v="0"/>
    <m/>
    <m/>
    <m/>
    <m/>
    <m/>
    <m/>
    <m/>
    <m/>
    <x v="0"/>
  </r>
  <r>
    <s v="RD"/>
    <s v="2.11.3"/>
    <m/>
    <s v="画面一覧（WMS/CMN）Rv反映"/>
    <m/>
    <m/>
    <x v="0"/>
    <m/>
    <m/>
    <m/>
    <m/>
    <m/>
    <m/>
    <m/>
    <m/>
    <x v="0"/>
  </r>
  <r>
    <s v="RD"/>
    <s v="2.11.4"/>
    <m/>
    <s v="画面一覧（WMS/CMN）承認"/>
    <m/>
    <m/>
    <x v="0"/>
    <m/>
    <m/>
    <m/>
    <m/>
    <m/>
    <m/>
    <m/>
    <m/>
    <x v="0"/>
  </r>
  <r>
    <s v="RD"/>
    <s v="2.12"/>
    <m/>
    <s v="帳票一覧（WMS/CMN）"/>
    <m/>
    <m/>
    <x v="0"/>
    <m/>
    <m/>
    <m/>
    <m/>
    <m/>
    <m/>
    <m/>
    <m/>
    <x v="0"/>
  </r>
  <r>
    <s v="RD"/>
    <s v="2.12.1"/>
    <m/>
    <s v="帳票一覧（WMS/CMN）作成"/>
    <m/>
    <m/>
    <x v="0"/>
    <m/>
    <m/>
    <m/>
    <m/>
    <m/>
    <m/>
    <m/>
    <m/>
    <x v="0"/>
  </r>
  <r>
    <s v="RD"/>
    <s v="2.12.2"/>
    <m/>
    <s v="帳票一覧（WMS/CMN）Rv"/>
    <m/>
    <m/>
    <x v="0"/>
    <m/>
    <m/>
    <m/>
    <m/>
    <m/>
    <m/>
    <m/>
    <m/>
    <x v="0"/>
  </r>
  <r>
    <s v="RD"/>
    <s v="2.12.3"/>
    <m/>
    <s v="帳票一覧（WMS/CMN）Rv反映"/>
    <m/>
    <m/>
    <x v="0"/>
    <m/>
    <m/>
    <m/>
    <m/>
    <m/>
    <m/>
    <m/>
    <m/>
    <x v="0"/>
  </r>
  <r>
    <s v="RD"/>
    <s v="2.12.4"/>
    <m/>
    <s v="帳票一覧（WMS/CMN）承認"/>
    <m/>
    <m/>
    <x v="0"/>
    <m/>
    <m/>
    <m/>
    <m/>
    <m/>
    <m/>
    <m/>
    <m/>
    <x v="0"/>
  </r>
  <r>
    <s v="RD"/>
    <s v="2.23"/>
    <m/>
    <s v="画面遷移図（WMS/CMN）"/>
    <m/>
    <m/>
    <x v="0"/>
    <m/>
    <m/>
    <m/>
    <m/>
    <m/>
    <m/>
    <m/>
    <m/>
    <x v="0"/>
  </r>
  <r>
    <s v="RD"/>
    <s v="2.23.1"/>
    <m/>
    <s v="画面遷移図（WMS/CMN）作成"/>
    <m/>
    <m/>
    <x v="0"/>
    <m/>
    <m/>
    <m/>
    <m/>
    <m/>
    <m/>
    <m/>
    <m/>
    <x v="0"/>
  </r>
  <r>
    <s v="RD"/>
    <s v="2.23.2"/>
    <m/>
    <s v="画面遷移図（WMS/CMN）Rv"/>
    <m/>
    <m/>
    <x v="0"/>
    <m/>
    <m/>
    <m/>
    <m/>
    <m/>
    <m/>
    <m/>
    <m/>
    <x v="0"/>
  </r>
  <r>
    <s v="RD"/>
    <s v="2.23.3"/>
    <m/>
    <s v="画面遷移図（WMS/CMN）Rv反映"/>
    <m/>
    <m/>
    <x v="0"/>
    <m/>
    <m/>
    <m/>
    <m/>
    <m/>
    <m/>
    <m/>
    <m/>
    <x v="0"/>
  </r>
  <r>
    <s v="RD"/>
    <s v="2.23.4"/>
    <m/>
    <s v="画面遷移図（WMS/CMN）承認"/>
    <m/>
    <m/>
    <x v="0"/>
    <m/>
    <m/>
    <m/>
    <m/>
    <m/>
    <m/>
    <m/>
    <m/>
    <x v="0"/>
  </r>
  <r>
    <s v="RD"/>
    <s v="2.14"/>
    <m/>
    <s v="ER図（WMS/CMN）"/>
    <m/>
    <m/>
    <x v="0"/>
    <m/>
    <m/>
    <m/>
    <m/>
    <m/>
    <m/>
    <m/>
    <m/>
    <x v="0"/>
  </r>
  <r>
    <s v="RD"/>
    <s v="2.14.1"/>
    <m/>
    <s v="ER図（WMS/CMN）作成"/>
    <m/>
    <m/>
    <x v="0"/>
    <m/>
    <m/>
    <m/>
    <m/>
    <m/>
    <m/>
    <m/>
    <m/>
    <x v="0"/>
  </r>
  <r>
    <s v="RD"/>
    <s v="2.14.2"/>
    <m/>
    <s v="ER図（WMS/CMN）Rv"/>
    <m/>
    <m/>
    <x v="0"/>
    <m/>
    <m/>
    <m/>
    <m/>
    <m/>
    <m/>
    <m/>
    <m/>
    <x v="0"/>
  </r>
  <r>
    <s v="RD"/>
    <s v="2.14.3"/>
    <m/>
    <s v="ER図（WMS/CMN）Rv反映"/>
    <m/>
    <m/>
    <x v="0"/>
    <m/>
    <m/>
    <m/>
    <m/>
    <m/>
    <m/>
    <m/>
    <m/>
    <x v="0"/>
  </r>
  <r>
    <s v="RD"/>
    <s v="2.14.4"/>
    <m/>
    <s v="ER図（WMS/CMN）承認"/>
    <m/>
    <m/>
    <x v="0"/>
    <m/>
    <m/>
    <m/>
    <m/>
    <m/>
    <m/>
    <m/>
    <m/>
    <x v="0"/>
  </r>
  <r>
    <s v="RD"/>
    <s v="2.15"/>
    <m/>
    <s v="エンティティ定義書（WMS/CMN）"/>
    <m/>
    <m/>
    <x v="0"/>
    <m/>
    <m/>
    <m/>
    <m/>
    <m/>
    <m/>
    <m/>
    <m/>
    <x v="0"/>
  </r>
  <r>
    <s v="RD"/>
    <s v="2.15.1"/>
    <m/>
    <s v="エンティティ定義書（WMS/CMN）作成"/>
    <m/>
    <m/>
    <x v="0"/>
    <m/>
    <m/>
    <m/>
    <m/>
    <m/>
    <m/>
    <m/>
    <m/>
    <x v="0"/>
  </r>
  <r>
    <s v="RD"/>
    <s v="2.15.2"/>
    <m/>
    <s v="エンティティ定義書（WMS/CMN）Rv"/>
    <m/>
    <m/>
    <x v="0"/>
    <m/>
    <m/>
    <m/>
    <m/>
    <m/>
    <m/>
    <m/>
    <m/>
    <x v="0"/>
  </r>
  <r>
    <s v="RD"/>
    <s v="2.15.3"/>
    <m/>
    <s v="エンティティ定義書（WMS/CMN）Rv反映"/>
    <m/>
    <m/>
    <x v="0"/>
    <m/>
    <m/>
    <m/>
    <m/>
    <m/>
    <m/>
    <m/>
    <m/>
    <x v="0"/>
  </r>
  <r>
    <s v="RD"/>
    <s v="2.15.4"/>
    <m/>
    <s v="エンティティ定義書（WMS/CMN）承認"/>
    <m/>
    <m/>
    <x v="0"/>
    <m/>
    <m/>
    <m/>
    <m/>
    <m/>
    <m/>
    <m/>
    <m/>
    <x v="0"/>
  </r>
  <r>
    <s v="RD"/>
    <s v="2.16"/>
    <m/>
    <s v="エンティティ一覧（WMS/CMN）"/>
    <m/>
    <m/>
    <x v="0"/>
    <m/>
    <m/>
    <m/>
    <m/>
    <m/>
    <m/>
    <m/>
    <m/>
    <x v="0"/>
  </r>
  <r>
    <s v="RD"/>
    <s v="2.16.1"/>
    <m/>
    <s v="エンティティ一覧（WMS/CMN）作成"/>
    <m/>
    <m/>
    <x v="0"/>
    <m/>
    <m/>
    <m/>
    <m/>
    <m/>
    <m/>
    <m/>
    <m/>
    <x v="0"/>
  </r>
  <r>
    <s v="RD"/>
    <s v="2.16.2"/>
    <m/>
    <s v="エンティティ一覧（WMS/CMN）Rv"/>
    <m/>
    <m/>
    <x v="0"/>
    <m/>
    <m/>
    <m/>
    <m/>
    <m/>
    <m/>
    <m/>
    <m/>
    <x v="0"/>
  </r>
  <r>
    <s v="RD"/>
    <s v="2.16.3"/>
    <m/>
    <s v="エンティティ一覧（WMS/CMN）Rv反映"/>
    <m/>
    <m/>
    <x v="0"/>
    <m/>
    <m/>
    <m/>
    <m/>
    <m/>
    <m/>
    <m/>
    <m/>
    <x v="0"/>
  </r>
  <r>
    <s v="RD"/>
    <s v="2.16.4"/>
    <m/>
    <s v="エンティティ一覧（WMS/CMN）承認"/>
    <m/>
    <m/>
    <x v="0"/>
    <m/>
    <m/>
    <m/>
    <m/>
    <m/>
    <m/>
    <m/>
    <m/>
    <x v="0"/>
  </r>
  <r>
    <s v="RD"/>
    <s v="2.17"/>
    <m/>
    <s v="命名規則/辞書"/>
    <m/>
    <m/>
    <x v="0"/>
    <m/>
    <m/>
    <m/>
    <m/>
    <m/>
    <m/>
    <m/>
    <m/>
    <x v="0"/>
  </r>
  <r>
    <s v="RD"/>
    <s v="2.17.1"/>
    <m/>
    <s v="命名規則/辞書作成"/>
    <m/>
    <m/>
    <x v="0"/>
    <m/>
    <m/>
    <m/>
    <m/>
    <m/>
    <m/>
    <m/>
    <m/>
    <x v="0"/>
  </r>
  <r>
    <s v="RD"/>
    <s v="2.17.2"/>
    <m/>
    <s v="命名規則/辞書Rv"/>
    <m/>
    <m/>
    <x v="0"/>
    <m/>
    <m/>
    <m/>
    <m/>
    <m/>
    <m/>
    <m/>
    <m/>
    <x v="0"/>
  </r>
  <r>
    <s v="RD"/>
    <s v="2.17.3"/>
    <m/>
    <s v="命名規則/辞書Rv反映"/>
    <m/>
    <m/>
    <x v="0"/>
    <m/>
    <m/>
    <m/>
    <m/>
    <m/>
    <m/>
    <m/>
    <m/>
    <x v="0"/>
  </r>
  <r>
    <s v="RD"/>
    <s v="2.17.4"/>
    <m/>
    <s v="命名規則/辞書承認"/>
    <m/>
    <m/>
    <x v="0"/>
    <m/>
    <m/>
    <m/>
    <m/>
    <m/>
    <m/>
    <m/>
    <m/>
    <x v="0"/>
  </r>
  <r>
    <s v="RD"/>
    <s v="2.18"/>
    <m/>
    <s v="外部インターフェース一覧"/>
    <m/>
    <m/>
    <x v="0"/>
    <m/>
    <m/>
    <m/>
    <m/>
    <m/>
    <m/>
    <m/>
    <m/>
    <x v="0"/>
  </r>
  <r>
    <s v="RD"/>
    <s v="2.18.1"/>
    <m/>
    <s v="外部インターフェース一覧作成"/>
    <m/>
    <m/>
    <x v="0"/>
    <m/>
    <m/>
    <m/>
    <m/>
    <m/>
    <m/>
    <m/>
    <m/>
    <x v="0"/>
  </r>
  <r>
    <s v="RD"/>
    <s v="2.18.2"/>
    <m/>
    <s v="外部インターフェース一覧Rv"/>
    <m/>
    <m/>
    <x v="0"/>
    <m/>
    <m/>
    <m/>
    <m/>
    <m/>
    <m/>
    <m/>
    <m/>
    <x v="0"/>
  </r>
  <r>
    <s v="RD"/>
    <s v="2.18.3"/>
    <m/>
    <s v="外部インターフェース一覧Rv反映"/>
    <m/>
    <m/>
    <x v="0"/>
    <m/>
    <m/>
    <m/>
    <m/>
    <m/>
    <m/>
    <m/>
    <m/>
    <x v="0"/>
  </r>
  <r>
    <s v="RD"/>
    <s v="2.18.4"/>
    <m/>
    <s v="外部インターフェース一覧承認"/>
    <m/>
    <m/>
    <x v="0"/>
    <m/>
    <m/>
    <m/>
    <m/>
    <m/>
    <m/>
    <m/>
    <m/>
    <x v="0"/>
  </r>
  <r>
    <s v="RD"/>
    <s v="2.19"/>
    <m/>
    <s v="開発パッケージ構成ポリシー"/>
    <m/>
    <m/>
    <x v="0"/>
    <m/>
    <m/>
    <m/>
    <m/>
    <m/>
    <m/>
    <m/>
    <m/>
    <x v="0"/>
  </r>
  <r>
    <s v="RD"/>
    <s v="2.19.1"/>
    <m/>
    <s v="開発パッケージ構成ポリシー作成"/>
    <m/>
    <m/>
    <x v="0"/>
    <m/>
    <m/>
    <m/>
    <m/>
    <m/>
    <m/>
    <m/>
    <m/>
    <x v="0"/>
  </r>
  <r>
    <s v="RD"/>
    <s v="2.19.2"/>
    <m/>
    <s v="開発パッケージ構成ポリシーRv"/>
    <m/>
    <m/>
    <x v="0"/>
    <m/>
    <m/>
    <m/>
    <m/>
    <m/>
    <m/>
    <m/>
    <m/>
    <x v="0"/>
  </r>
  <r>
    <s v="RD"/>
    <s v="2.19.3"/>
    <m/>
    <s v="開発パッケージ構成ポリシーRv反映"/>
    <m/>
    <m/>
    <x v="0"/>
    <m/>
    <m/>
    <m/>
    <m/>
    <m/>
    <m/>
    <m/>
    <m/>
    <x v="0"/>
  </r>
  <r>
    <s v="RD"/>
    <s v="2.19.4"/>
    <m/>
    <s v="開発パッケージ構成ポリシー承認"/>
    <m/>
    <m/>
    <x v="0"/>
    <m/>
    <m/>
    <m/>
    <m/>
    <m/>
    <m/>
    <m/>
    <m/>
    <x v="0"/>
  </r>
  <r>
    <s v="RD"/>
    <s v="2.20"/>
    <m/>
    <s v="コーディング規約"/>
    <m/>
    <m/>
    <x v="0"/>
    <m/>
    <m/>
    <m/>
    <m/>
    <m/>
    <m/>
    <m/>
    <m/>
    <x v="0"/>
  </r>
  <r>
    <s v="RD"/>
    <s v="2.20.1"/>
    <m/>
    <s v="コーディング規約作成"/>
    <m/>
    <m/>
    <x v="0"/>
    <m/>
    <m/>
    <m/>
    <m/>
    <m/>
    <m/>
    <m/>
    <m/>
    <x v="0"/>
  </r>
  <r>
    <s v="RD"/>
    <s v="2.20.2"/>
    <m/>
    <s v="コーディング規約Rv"/>
    <m/>
    <m/>
    <x v="0"/>
    <m/>
    <m/>
    <m/>
    <m/>
    <m/>
    <m/>
    <m/>
    <m/>
    <x v="0"/>
  </r>
  <r>
    <s v="RD"/>
    <s v="2.20.3"/>
    <m/>
    <s v="コーディング規約Rv反映"/>
    <m/>
    <m/>
    <x v="0"/>
    <m/>
    <m/>
    <m/>
    <m/>
    <m/>
    <m/>
    <m/>
    <m/>
    <x v="0"/>
  </r>
  <r>
    <s v="RD"/>
    <s v="2.20.4"/>
    <m/>
    <s v="コーディング規約承認"/>
    <m/>
    <m/>
    <x v="0"/>
    <m/>
    <m/>
    <m/>
    <m/>
    <m/>
    <m/>
    <m/>
    <m/>
    <x v="0"/>
  </r>
  <r>
    <s v="RD"/>
    <s v="2.21"/>
    <m/>
    <s v="UT 実施要領"/>
    <m/>
    <m/>
    <x v="0"/>
    <m/>
    <m/>
    <m/>
    <m/>
    <m/>
    <m/>
    <m/>
    <m/>
    <x v="0"/>
  </r>
  <r>
    <s v="RD"/>
    <s v="2.21.1"/>
    <m/>
    <s v="UT 実施要領作成"/>
    <m/>
    <m/>
    <x v="0"/>
    <m/>
    <m/>
    <m/>
    <m/>
    <m/>
    <m/>
    <m/>
    <m/>
    <x v="0"/>
  </r>
  <r>
    <s v="RD"/>
    <s v="2.21.2"/>
    <m/>
    <s v="UT 実施要領Rv"/>
    <m/>
    <m/>
    <x v="0"/>
    <m/>
    <m/>
    <m/>
    <m/>
    <m/>
    <m/>
    <m/>
    <m/>
    <x v="0"/>
  </r>
  <r>
    <s v="RD"/>
    <s v="2.21.3"/>
    <m/>
    <s v="UT 実施要領Rv反映"/>
    <m/>
    <m/>
    <x v="0"/>
    <m/>
    <m/>
    <m/>
    <m/>
    <m/>
    <m/>
    <m/>
    <m/>
    <x v="0"/>
  </r>
  <r>
    <s v="RD"/>
    <s v="2.21.4"/>
    <m/>
    <s v="UT 実施要領承認"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s v="ED"/>
    <s v="3.1"/>
    <m/>
    <s v="メッセージ定義書（WMS/CMN）"/>
    <m/>
    <m/>
    <x v="0"/>
    <m/>
    <m/>
    <m/>
    <m/>
    <m/>
    <m/>
    <m/>
    <m/>
    <x v="0"/>
  </r>
  <r>
    <s v="ED"/>
    <s v="3.2"/>
    <m/>
    <s v="オンライン設計書（WMS/CMN）"/>
    <m/>
    <m/>
    <x v="0"/>
    <m/>
    <m/>
    <m/>
    <m/>
    <m/>
    <m/>
    <m/>
    <m/>
    <x v="0"/>
  </r>
  <r>
    <s v="ED"/>
    <s v="3.3"/>
    <m/>
    <s v="QP画面定義（WMS/CMN）"/>
    <m/>
    <m/>
    <x v="0"/>
    <m/>
    <m/>
    <m/>
    <m/>
    <m/>
    <m/>
    <m/>
    <m/>
    <x v="0"/>
  </r>
  <r>
    <s v="ED"/>
    <s v="3.4"/>
    <m/>
    <s v="帳票設計書（WMS/CMN）"/>
    <m/>
    <m/>
    <x v="0"/>
    <m/>
    <m/>
    <m/>
    <m/>
    <m/>
    <m/>
    <m/>
    <m/>
    <x v="0"/>
  </r>
  <r>
    <s v="ED"/>
    <s v="3.5"/>
    <m/>
    <s v="共通画面パーツ定義"/>
    <m/>
    <m/>
    <x v="0"/>
    <m/>
    <m/>
    <m/>
    <m/>
    <m/>
    <m/>
    <m/>
    <m/>
    <x v="0"/>
  </r>
  <r>
    <s v="ED"/>
    <s v="3.6"/>
    <m/>
    <s v="共通プロセス設計書（WMS/CMN）"/>
    <m/>
    <m/>
    <x v="0"/>
    <m/>
    <m/>
    <m/>
    <m/>
    <m/>
    <m/>
    <m/>
    <m/>
    <x v="0"/>
  </r>
  <r>
    <s v="ED"/>
    <s v="3.7"/>
    <m/>
    <s v="外部インターフェース定義書（WMS/CMN）"/>
    <m/>
    <m/>
    <x v="0"/>
    <m/>
    <m/>
    <m/>
    <m/>
    <m/>
    <m/>
    <m/>
    <m/>
    <x v="0"/>
  </r>
  <r>
    <s v="ED"/>
    <s v="3.8"/>
    <m/>
    <s v="ER図"/>
    <m/>
    <m/>
    <x v="0"/>
    <m/>
    <m/>
    <m/>
    <m/>
    <m/>
    <m/>
    <m/>
    <m/>
    <x v="0"/>
  </r>
  <r>
    <s v="ED"/>
    <s v="3.8.1"/>
    <m/>
    <s v="ER図作成"/>
    <m/>
    <m/>
    <x v="0"/>
    <m/>
    <m/>
    <m/>
    <m/>
    <m/>
    <m/>
    <m/>
    <m/>
    <x v="0"/>
  </r>
  <r>
    <s v="ED"/>
    <s v="3.8.2"/>
    <m/>
    <s v="ER図Rv"/>
    <m/>
    <m/>
    <x v="0"/>
    <m/>
    <m/>
    <m/>
    <m/>
    <m/>
    <m/>
    <m/>
    <m/>
    <x v="0"/>
  </r>
  <r>
    <s v="ED"/>
    <s v="3.8.3"/>
    <m/>
    <s v="ER図Rv反映"/>
    <m/>
    <m/>
    <x v="0"/>
    <m/>
    <m/>
    <m/>
    <m/>
    <m/>
    <m/>
    <m/>
    <m/>
    <x v="0"/>
  </r>
  <r>
    <s v="ED"/>
    <s v="3.8.4"/>
    <m/>
    <s v="ER図承認"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s v="M&amp;UT"/>
    <s v="4.1"/>
    <m/>
    <s v="M&amp;UT(QP 100%)"/>
    <m/>
    <m/>
    <x v="0"/>
    <m/>
    <m/>
    <m/>
    <m/>
    <m/>
    <m/>
    <m/>
    <m/>
    <x v="0"/>
  </r>
  <r>
    <s v="M&amp;UT"/>
    <s v="4.1.1"/>
    <m/>
    <s v="ソースコード作成"/>
    <m/>
    <m/>
    <x v="0"/>
    <m/>
    <m/>
    <m/>
    <m/>
    <m/>
    <m/>
    <m/>
    <m/>
    <x v="0"/>
  </r>
  <r>
    <s v="M&amp;UT"/>
    <s v="4.1.2"/>
    <m/>
    <s v="ソースコードRv"/>
    <m/>
    <m/>
    <x v="0"/>
    <m/>
    <m/>
    <m/>
    <m/>
    <m/>
    <m/>
    <m/>
    <m/>
    <x v="0"/>
  </r>
  <r>
    <s v="M&amp;UT"/>
    <s v="4.1.3"/>
    <m/>
    <s v="ソースコードRv反映"/>
    <m/>
    <m/>
    <x v="0"/>
    <m/>
    <m/>
    <m/>
    <m/>
    <m/>
    <m/>
    <m/>
    <m/>
    <x v="0"/>
  </r>
  <r>
    <s v="M&amp;UT"/>
    <s v="4.1.4"/>
    <m/>
    <s v="チェックリスト作成"/>
    <m/>
    <m/>
    <x v="0"/>
    <m/>
    <m/>
    <m/>
    <m/>
    <m/>
    <m/>
    <m/>
    <m/>
    <x v="0"/>
  </r>
  <r>
    <s v="M&amp;UT"/>
    <s v="4.1.5"/>
    <m/>
    <s v="チェックリストRv"/>
    <m/>
    <m/>
    <x v="0"/>
    <m/>
    <m/>
    <m/>
    <m/>
    <m/>
    <m/>
    <m/>
    <m/>
    <x v="0"/>
  </r>
  <r>
    <s v="M&amp;UT"/>
    <s v="4.1.6"/>
    <m/>
    <s v="チェックリストRv反映"/>
    <m/>
    <m/>
    <x v="0"/>
    <m/>
    <m/>
    <m/>
    <m/>
    <m/>
    <m/>
    <m/>
    <m/>
    <x v="0"/>
  </r>
  <r>
    <s v="M&amp;UT"/>
    <s v="4.1.7"/>
    <m/>
    <s v="チェックリスト手動実施"/>
    <m/>
    <m/>
    <x v="0"/>
    <m/>
    <m/>
    <m/>
    <m/>
    <m/>
    <m/>
    <m/>
    <m/>
    <x v="0"/>
  </r>
  <r>
    <s v="M&amp;UT"/>
    <s v="4.1.8"/>
    <m/>
    <s v="バグFix"/>
    <m/>
    <m/>
    <x v="0"/>
    <m/>
    <m/>
    <m/>
    <m/>
    <m/>
    <m/>
    <m/>
    <m/>
    <x v="0"/>
  </r>
  <r>
    <s v="M&amp;UT"/>
    <s v="4.1.9"/>
    <m/>
    <s v="試験結果確認"/>
    <m/>
    <m/>
    <x v="0"/>
    <m/>
    <m/>
    <m/>
    <m/>
    <m/>
    <m/>
    <m/>
    <m/>
    <x v="0"/>
  </r>
  <r>
    <s v="M&amp;UT"/>
    <s v="4.2"/>
    <m/>
    <s v="M&amp;UT(QP XX%)"/>
    <m/>
    <m/>
    <x v="0"/>
    <m/>
    <m/>
    <m/>
    <m/>
    <m/>
    <m/>
    <m/>
    <m/>
    <x v="0"/>
  </r>
  <r>
    <s v="M&amp;UT"/>
    <s v="4.2.1"/>
    <m/>
    <s v="ソースコード作成"/>
    <m/>
    <m/>
    <x v="0"/>
    <m/>
    <m/>
    <m/>
    <m/>
    <m/>
    <m/>
    <m/>
    <m/>
    <x v="0"/>
  </r>
  <r>
    <s v="M&amp;UT"/>
    <s v="4.2.2"/>
    <m/>
    <s v="ソースコードRv"/>
    <m/>
    <m/>
    <x v="0"/>
    <m/>
    <m/>
    <m/>
    <m/>
    <m/>
    <m/>
    <m/>
    <m/>
    <x v="0"/>
  </r>
  <r>
    <s v="M&amp;UT"/>
    <s v="4.2.3"/>
    <m/>
    <s v="ソースコードRv反映"/>
    <m/>
    <m/>
    <x v="0"/>
    <m/>
    <m/>
    <m/>
    <m/>
    <m/>
    <m/>
    <m/>
    <m/>
    <x v="0"/>
  </r>
  <r>
    <s v="M&amp;UT"/>
    <s v="4.2.4"/>
    <m/>
    <s v="チェックリスト作成"/>
    <m/>
    <m/>
    <x v="0"/>
    <m/>
    <m/>
    <m/>
    <m/>
    <m/>
    <m/>
    <m/>
    <m/>
    <x v="0"/>
  </r>
  <r>
    <s v="M&amp;UT"/>
    <s v="4.2.5"/>
    <m/>
    <s v="チェックリストRv"/>
    <m/>
    <m/>
    <x v="0"/>
    <m/>
    <m/>
    <m/>
    <m/>
    <m/>
    <m/>
    <m/>
    <m/>
    <x v="0"/>
  </r>
  <r>
    <s v="M&amp;UT"/>
    <s v="4.2.6"/>
    <m/>
    <s v="チェックリストRv反映"/>
    <m/>
    <m/>
    <x v="0"/>
    <m/>
    <m/>
    <m/>
    <m/>
    <m/>
    <m/>
    <m/>
    <m/>
    <x v="0"/>
  </r>
  <r>
    <s v="M&amp;UT"/>
    <s v="4.2.8"/>
    <m/>
    <s v="Junit テストコード作成"/>
    <m/>
    <m/>
    <x v="0"/>
    <m/>
    <m/>
    <m/>
    <m/>
    <m/>
    <m/>
    <m/>
    <m/>
    <x v="0"/>
  </r>
  <r>
    <s v="M&amp;UT"/>
    <s v="4.2.9"/>
    <m/>
    <s v="Junit テストコードRv"/>
    <m/>
    <m/>
    <x v="0"/>
    <m/>
    <m/>
    <m/>
    <m/>
    <m/>
    <m/>
    <m/>
    <m/>
    <x v="0"/>
  </r>
  <r>
    <s v="M&amp;UT"/>
    <s v="4.2.10"/>
    <m/>
    <s v="Junit テストコードRv反映"/>
    <m/>
    <m/>
    <x v="0"/>
    <m/>
    <m/>
    <m/>
    <m/>
    <m/>
    <m/>
    <m/>
    <m/>
    <x v="0"/>
  </r>
  <r>
    <s v="M&amp;UT"/>
    <s v="4.2.11"/>
    <m/>
    <s v="Junit テストコード実施"/>
    <m/>
    <m/>
    <x v="0"/>
    <m/>
    <m/>
    <m/>
    <m/>
    <m/>
    <m/>
    <m/>
    <m/>
    <x v="0"/>
  </r>
  <r>
    <s v="M&amp;UT"/>
    <s v="4.2.12"/>
    <m/>
    <s v="バグFix"/>
    <m/>
    <m/>
    <x v="0"/>
    <m/>
    <m/>
    <m/>
    <m/>
    <m/>
    <m/>
    <m/>
    <m/>
    <x v="0"/>
  </r>
  <r>
    <s v="M&amp;UT"/>
    <s v="4.2.13"/>
    <m/>
    <s v="試験結果確認"/>
    <m/>
    <m/>
    <x v="0"/>
    <m/>
    <m/>
    <m/>
    <m/>
    <m/>
    <m/>
    <m/>
    <m/>
    <x v="0"/>
  </r>
  <r>
    <s v="M&amp;UT"/>
    <s v="4.2.14"/>
    <m/>
    <s v="チェックリスト手動実施"/>
    <m/>
    <m/>
    <x v="0"/>
    <m/>
    <m/>
    <m/>
    <m/>
    <m/>
    <m/>
    <m/>
    <m/>
    <x v="0"/>
  </r>
  <r>
    <s v="M&amp;UT"/>
    <s v="4.2.15"/>
    <m/>
    <s v="バグFix"/>
    <m/>
    <m/>
    <x v="0"/>
    <m/>
    <m/>
    <m/>
    <m/>
    <m/>
    <m/>
    <m/>
    <m/>
    <x v="0"/>
  </r>
  <r>
    <s v="M&amp;UT"/>
    <s v="4.2.16"/>
    <m/>
    <s v="試験結果確認"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  <r>
    <m/>
    <m/>
    <m/>
    <m/>
    <m/>
    <m/>
    <x v="0"/>
    <m/>
    <m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5">
  <r>
    <x v="0"/>
    <x v="0"/>
    <x v="0"/>
    <x v="0"/>
    <m/>
    <x v="0"/>
    <m/>
    <m/>
    <m/>
    <m/>
    <m/>
    <m/>
    <m/>
    <m/>
    <m/>
  </r>
  <r>
    <x v="1"/>
    <x v="0"/>
    <x v="1"/>
    <x v="0"/>
    <m/>
    <x v="0"/>
    <m/>
    <m/>
    <m/>
    <m/>
    <m/>
    <m/>
    <m/>
    <m/>
    <m/>
  </r>
  <r>
    <x v="2"/>
    <x v="0"/>
    <x v="2"/>
    <x v="1"/>
    <d v="2017-04-03T00:00:00"/>
    <x v="1"/>
    <m/>
    <m/>
    <m/>
    <m/>
    <m/>
    <m/>
    <m/>
    <m/>
    <m/>
  </r>
  <r>
    <x v="3"/>
    <x v="0"/>
    <x v="3"/>
    <x v="1"/>
    <d v="2017-04-10T00:00:00"/>
    <x v="2"/>
    <m/>
    <m/>
    <m/>
    <m/>
    <m/>
    <m/>
    <m/>
    <m/>
    <m/>
  </r>
  <r>
    <x v="4"/>
    <x v="0"/>
    <x v="4"/>
    <x v="0"/>
    <m/>
    <x v="0"/>
    <m/>
    <m/>
    <m/>
    <m/>
    <m/>
    <m/>
    <m/>
    <m/>
    <m/>
  </r>
  <r>
    <x v="5"/>
    <x v="0"/>
    <x v="5"/>
    <x v="1"/>
    <d v="2017-04-03T00:00:00"/>
    <x v="3"/>
    <m/>
    <m/>
    <m/>
    <m/>
    <m/>
    <m/>
    <m/>
    <m/>
    <m/>
  </r>
  <r>
    <x v="6"/>
    <x v="0"/>
    <x v="6"/>
    <x v="1"/>
    <d v="2017-04-04T00:00:00"/>
    <x v="1"/>
    <m/>
    <m/>
    <m/>
    <m/>
    <m/>
    <m/>
    <m/>
    <m/>
    <m/>
  </r>
  <r>
    <x v="7"/>
    <x v="0"/>
    <x v="7"/>
    <x v="0"/>
    <m/>
    <x v="0"/>
    <m/>
    <m/>
    <m/>
    <m/>
    <m/>
    <m/>
    <m/>
    <m/>
    <m/>
  </r>
  <r>
    <x v="8"/>
    <x v="0"/>
    <x v="8"/>
    <x v="2"/>
    <d v="2017-03-30T00:00:00"/>
    <x v="3"/>
    <m/>
    <m/>
    <d v="2017-03-30T00:00:00"/>
    <d v="2017-04-03T00:00:00"/>
    <m/>
    <s v="Closed"/>
    <n v="1"/>
    <m/>
    <m/>
  </r>
  <r>
    <x v="9"/>
    <x v="0"/>
    <x v="9"/>
    <x v="2"/>
    <d v="2017-03-30T00:00:00"/>
    <x v="3"/>
    <m/>
    <m/>
    <d v="2017-04-03T00:00:00"/>
    <d v="2017-04-03T00:00:00"/>
    <m/>
    <s v="Closed"/>
    <n v="1"/>
    <m/>
    <m/>
  </r>
  <r>
    <x v="10"/>
    <x v="0"/>
    <x v="10"/>
    <x v="1"/>
    <m/>
    <x v="0"/>
    <m/>
    <m/>
    <m/>
    <m/>
    <m/>
    <m/>
    <m/>
    <m/>
    <m/>
  </r>
  <r>
    <x v="11"/>
    <x v="0"/>
    <x v="11"/>
    <x v="1"/>
    <m/>
    <x v="0"/>
    <m/>
    <m/>
    <m/>
    <m/>
    <m/>
    <m/>
    <m/>
    <m/>
    <m/>
  </r>
  <r>
    <x v="12"/>
    <x v="0"/>
    <x v="12"/>
    <x v="1"/>
    <d v="2017-04-05T00:00:00"/>
    <x v="1"/>
    <m/>
    <m/>
    <m/>
    <m/>
    <m/>
    <m/>
    <m/>
    <m/>
    <m/>
  </r>
  <r>
    <x v="13"/>
    <x v="0"/>
    <x v="13"/>
    <x v="0"/>
    <m/>
    <x v="0"/>
    <m/>
    <m/>
    <m/>
    <m/>
    <m/>
    <m/>
    <m/>
    <m/>
    <m/>
  </r>
  <r>
    <x v="14"/>
    <x v="0"/>
    <x v="14"/>
    <x v="1"/>
    <d v="2017-03-30T00:00:00"/>
    <x v="4"/>
    <m/>
    <m/>
    <m/>
    <m/>
    <m/>
    <m/>
    <m/>
    <m/>
    <m/>
  </r>
  <r>
    <x v="15"/>
    <x v="0"/>
    <x v="15"/>
    <x v="1"/>
    <d v="2017-03-30T00:00:00"/>
    <x v="4"/>
    <m/>
    <m/>
    <m/>
    <m/>
    <m/>
    <m/>
    <m/>
    <m/>
    <m/>
  </r>
  <r>
    <x v="16"/>
    <x v="0"/>
    <x v="16"/>
    <x v="0"/>
    <m/>
    <x v="0"/>
    <m/>
    <m/>
    <m/>
    <m/>
    <m/>
    <m/>
    <m/>
    <m/>
    <m/>
  </r>
  <r>
    <x v="17"/>
    <x v="0"/>
    <x v="17"/>
    <x v="0"/>
    <m/>
    <x v="0"/>
    <m/>
    <m/>
    <m/>
    <m/>
    <m/>
    <m/>
    <m/>
    <m/>
    <m/>
  </r>
  <r>
    <x v="18"/>
    <x v="0"/>
    <x v="18"/>
    <x v="0"/>
    <m/>
    <x v="0"/>
    <m/>
    <m/>
    <m/>
    <m/>
    <m/>
    <m/>
    <m/>
    <m/>
    <m/>
  </r>
  <r>
    <x v="19"/>
    <x v="0"/>
    <x v="19"/>
    <x v="0"/>
    <m/>
    <x v="0"/>
    <m/>
    <m/>
    <m/>
    <m/>
    <m/>
    <m/>
    <m/>
    <m/>
    <m/>
  </r>
  <r>
    <x v="20"/>
    <x v="0"/>
    <x v="20"/>
    <x v="0"/>
    <m/>
    <x v="0"/>
    <m/>
    <m/>
    <m/>
    <m/>
    <m/>
    <m/>
    <m/>
    <m/>
    <m/>
  </r>
  <r>
    <x v="21"/>
    <x v="0"/>
    <x v="21"/>
    <x v="0"/>
    <m/>
    <x v="0"/>
    <m/>
    <m/>
    <m/>
    <m/>
    <m/>
    <m/>
    <m/>
    <m/>
    <m/>
  </r>
  <r>
    <x v="22"/>
    <x v="0"/>
    <x v="22"/>
    <x v="1"/>
    <m/>
    <x v="0"/>
    <m/>
    <m/>
    <m/>
    <m/>
    <m/>
    <m/>
    <m/>
    <m/>
    <m/>
  </r>
  <r>
    <x v="23"/>
    <x v="0"/>
    <x v="23"/>
    <x v="1"/>
    <m/>
    <x v="0"/>
    <m/>
    <m/>
    <m/>
    <m/>
    <m/>
    <m/>
    <m/>
    <m/>
    <m/>
  </r>
  <r>
    <x v="24"/>
    <x v="0"/>
    <x v="24"/>
    <x v="3"/>
    <m/>
    <x v="0"/>
    <m/>
    <m/>
    <m/>
    <m/>
    <m/>
    <m/>
    <m/>
    <m/>
    <m/>
  </r>
  <r>
    <x v="25"/>
    <x v="0"/>
    <x v="25"/>
    <x v="0"/>
    <m/>
    <x v="0"/>
    <m/>
    <m/>
    <m/>
    <m/>
    <m/>
    <m/>
    <m/>
    <m/>
    <m/>
  </r>
  <r>
    <x v="26"/>
    <x v="0"/>
    <x v="26"/>
    <x v="2"/>
    <m/>
    <x v="0"/>
    <m/>
    <m/>
    <m/>
    <m/>
    <m/>
    <m/>
    <m/>
    <m/>
    <m/>
  </r>
  <r>
    <x v="27"/>
    <x v="0"/>
    <x v="27"/>
    <x v="1"/>
    <m/>
    <x v="0"/>
    <m/>
    <m/>
    <m/>
    <m/>
    <m/>
    <m/>
    <m/>
    <m/>
    <m/>
  </r>
  <r>
    <x v="28"/>
    <x v="0"/>
    <x v="28"/>
    <x v="2"/>
    <m/>
    <x v="0"/>
    <m/>
    <m/>
    <m/>
    <m/>
    <m/>
    <m/>
    <m/>
    <m/>
    <m/>
  </r>
  <r>
    <x v="29"/>
    <x v="0"/>
    <x v="29"/>
    <x v="1"/>
    <m/>
    <x v="0"/>
    <m/>
    <m/>
    <m/>
    <m/>
    <m/>
    <m/>
    <m/>
    <m/>
    <m/>
  </r>
  <r>
    <x v="30"/>
    <x v="0"/>
    <x v="30"/>
    <x v="0"/>
    <m/>
    <x v="0"/>
    <m/>
    <m/>
    <m/>
    <m/>
    <m/>
    <m/>
    <m/>
    <m/>
    <m/>
  </r>
  <r>
    <x v="31"/>
    <x v="0"/>
    <x v="31"/>
    <x v="2"/>
    <m/>
    <x v="0"/>
    <m/>
    <m/>
    <m/>
    <m/>
    <m/>
    <m/>
    <m/>
    <m/>
    <m/>
  </r>
  <r>
    <x v="32"/>
    <x v="0"/>
    <x v="32"/>
    <x v="1"/>
    <m/>
    <x v="0"/>
    <m/>
    <m/>
    <m/>
    <m/>
    <m/>
    <m/>
    <m/>
    <m/>
    <m/>
  </r>
  <r>
    <x v="33"/>
    <x v="0"/>
    <x v="33"/>
    <x v="2"/>
    <m/>
    <x v="0"/>
    <m/>
    <m/>
    <m/>
    <m/>
    <m/>
    <m/>
    <m/>
    <m/>
    <m/>
  </r>
  <r>
    <x v="34"/>
    <x v="0"/>
    <x v="34"/>
    <x v="1"/>
    <m/>
    <x v="0"/>
    <m/>
    <m/>
    <m/>
    <m/>
    <m/>
    <m/>
    <m/>
    <m/>
    <m/>
  </r>
  <r>
    <x v="35"/>
    <x v="0"/>
    <x v="35"/>
    <x v="0"/>
    <m/>
    <x v="0"/>
    <m/>
    <m/>
    <m/>
    <m/>
    <m/>
    <m/>
    <m/>
    <m/>
    <m/>
  </r>
  <r>
    <x v="36"/>
    <x v="0"/>
    <x v="36"/>
    <x v="0"/>
    <m/>
    <x v="0"/>
    <m/>
    <m/>
    <m/>
    <m/>
    <m/>
    <m/>
    <m/>
    <m/>
    <m/>
  </r>
  <r>
    <x v="37"/>
    <x v="0"/>
    <x v="37"/>
    <x v="4"/>
    <m/>
    <x v="0"/>
    <m/>
    <m/>
    <m/>
    <m/>
    <m/>
    <m/>
    <m/>
    <m/>
    <s v="Low"/>
  </r>
  <r>
    <x v="38"/>
    <x v="0"/>
    <x v="38"/>
    <x v="5"/>
    <m/>
    <x v="0"/>
    <m/>
    <m/>
    <m/>
    <m/>
    <m/>
    <m/>
    <m/>
    <m/>
    <s v="Low"/>
  </r>
  <r>
    <x v="39"/>
    <x v="0"/>
    <x v="39"/>
    <x v="1"/>
    <m/>
    <x v="0"/>
    <m/>
    <m/>
    <m/>
    <m/>
    <m/>
    <m/>
    <m/>
    <m/>
    <s v="Low"/>
  </r>
  <r>
    <x v="40"/>
    <x v="0"/>
    <x v="40"/>
    <x v="0"/>
    <m/>
    <x v="0"/>
    <m/>
    <m/>
    <m/>
    <m/>
    <m/>
    <m/>
    <m/>
    <m/>
    <m/>
  </r>
  <r>
    <x v="41"/>
    <x v="0"/>
    <x v="37"/>
    <x v="4"/>
    <d v="2017-03-29T00:00:00"/>
    <x v="5"/>
    <m/>
    <m/>
    <m/>
    <m/>
    <m/>
    <m/>
    <m/>
    <m/>
    <s v="Low"/>
  </r>
  <r>
    <x v="42"/>
    <x v="0"/>
    <x v="38"/>
    <x v="5"/>
    <d v="2017-03-29T00:00:00"/>
    <x v="6"/>
    <m/>
    <m/>
    <m/>
    <m/>
    <m/>
    <m/>
    <m/>
    <m/>
    <s v="Low"/>
  </r>
  <r>
    <x v="43"/>
    <x v="0"/>
    <x v="39"/>
    <x v="1"/>
    <d v="2017-04-04T00:00:00"/>
    <x v="3"/>
    <m/>
    <m/>
    <m/>
    <m/>
    <m/>
    <m/>
    <m/>
    <m/>
    <s v="Low"/>
  </r>
  <r>
    <x v="44"/>
    <x v="0"/>
    <x v="41"/>
    <x v="0"/>
    <m/>
    <x v="0"/>
    <m/>
    <m/>
    <m/>
    <m/>
    <m/>
    <m/>
    <m/>
    <m/>
    <m/>
  </r>
  <r>
    <x v="45"/>
    <x v="0"/>
    <x v="42"/>
    <x v="1"/>
    <d v="2017-03-29T00:00:00"/>
    <x v="7"/>
    <m/>
    <m/>
    <d v="2017-03-29T00:00:00"/>
    <d v="2017-03-29T00:00:00"/>
    <m/>
    <s v="Closed"/>
    <n v="1"/>
    <m/>
    <m/>
  </r>
  <r>
    <x v="46"/>
    <x v="0"/>
    <x v="43"/>
    <x v="5"/>
    <d v="2017-03-31T00:00:00"/>
    <x v="8"/>
    <m/>
    <m/>
    <d v="2017-03-31T00:00:00"/>
    <d v="2017-03-31T00:00:00"/>
    <m/>
    <s v="Closed"/>
    <n v="1"/>
    <m/>
    <m/>
  </r>
  <r>
    <x v="47"/>
    <x v="0"/>
    <x v="44"/>
    <x v="1"/>
    <d v="2017-04-03T00:00:00"/>
    <x v="6"/>
    <m/>
    <m/>
    <d v="2017-04-03T00:00:00"/>
    <d v="2017-04-03T00:00:00"/>
    <m/>
    <s v="Closed"/>
    <n v="1"/>
    <m/>
    <m/>
  </r>
  <r>
    <x v="48"/>
    <x v="0"/>
    <x v="45"/>
    <x v="5"/>
    <d v="2017-04-03T00:00:00"/>
    <x v="6"/>
    <m/>
    <m/>
    <m/>
    <m/>
    <m/>
    <m/>
    <m/>
    <m/>
    <m/>
  </r>
  <r>
    <x v="49"/>
    <x v="0"/>
    <x v="39"/>
    <x v="1"/>
    <d v="2017-04-05T00:00:00"/>
    <x v="1"/>
    <m/>
    <m/>
    <m/>
    <m/>
    <m/>
    <m/>
    <m/>
    <m/>
    <m/>
  </r>
  <r>
    <x v="50"/>
    <x v="0"/>
    <x v="46"/>
    <x v="0"/>
    <m/>
    <x v="0"/>
    <m/>
    <m/>
    <m/>
    <m/>
    <m/>
    <m/>
    <m/>
    <m/>
    <m/>
  </r>
  <r>
    <x v="51"/>
    <x v="0"/>
    <x v="47"/>
    <x v="6"/>
    <d v="2017-03-30T00:00:00"/>
    <x v="8"/>
    <m/>
    <m/>
    <m/>
    <m/>
    <m/>
    <m/>
    <m/>
    <m/>
    <s v="Medium"/>
  </r>
  <r>
    <x v="52"/>
    <x v="0"/>
    <x v="48"/>
    <x v="1"/>
    <d v="2017-04-03T00:00:00"/>
    <x v="6"/>
    <m/>
    <m/>
    <m/>
    <m/>
    <m/>
    <m/>
    <m/>
    <m/>
    <s v="Medium"/>
  </r>
  <r>
    <x v="53"/>
    <x v="0"/>
    <x v="49"/>
    <x v="0"/>
    <m/>
    <x v="0"/>
    <m/>
    <m/>
    <m/>
    <m/>
    <m/>
    <m/>
    <m/>
    <m/>
    <m/>
  </r>
  <r>
    <x v="54"/>
    <x v="0"/>
    <x v="50"/>
    <x v="5"/>
    <d v="2017-03-29T00:00:00"/>
    <x v="5"/>
    <m/>
    <m/>
    <d v="2017-03-29T00:00:00"/>
    <d v="2017-03-31T00:00:00"/>
    <m/>
    <s v="Closed"/>
    <n v="1"/>
    <m/>
    <s v="Very High"/>
  </r>
  <r>
    <x v="55"/>
    <x v="0"/>
    <x v="51"/>
    <x v="5"/>
    <d v="2017-03-29T00:00:00"/>
    <x v="6"/>
    <m/>
    <m/>
    <m/>
    <m/>
    <m/>
    <m/>
    <m/>
    <m/>
    <s v="Very High"/>
  </r>
  <r>
    <x v="56"/>
    <x v="0"/>
    <x v="52"/>
    <x v="1"/>
    <d v="2017-04-03T00:00:00"/>
    <x v="6"/>
    <m/>
    <m/>
    <m/>
    <m/>
    <m/>
    <m/>
    <m/>
    <m/>
    <s v="Very High"/>
  </r>
  <r>
    <x v="57"/>
    <x v="0"/>
    <x v="53"/>
    <x v="0"/>
    <m/>
    <x v="0"/>
    <m/>
    <m/>
    <m/>
    <m/>
    <m/>
    <m/>
    <m/>
    <m/>
    <m/>
  </r>
  <r>
    <x v="58"/>
    <x v="0"/>
    <x v="50"/>
    <x v="5"/>
    <d v="2017-03-29T00:00:00"/>
    <x v="9"/>
    <m/>
    <m/>
    <m/>
    <m/>
    <m/>
    <m/>
    <m/>
    <m/>
    <s v="Medium"/>
  </r>
  <r>
    <x v="59"/>
    <x v="0"/>
    <x v="51"/>
    <x v="5"/>
    <d v="2017-04-13T00:00:00"/>
    <x v="9"/>
    <m/>
    <m/>
    <m/>
    <m/>
    <m/>
    <m/>
    <m/>
    <m/>
    <s v="Medium"/>
  </r>
  <r>
    <x v="60"/>
    <x v="0"/>
    <x v="52"/>
    <x v="1"/>
    <d v="2017-04-14T00:00:00"/>
    <x v="10"/>
    <m/>
    <m/>
    <m/>
    <m/>
    <m/>
    <m/>
    <m/>
    <m/>
    <s v="Medium"/>
  </r>
  <r>
    <x v="61"/>
    <x v="0"/>
    <x v="54"/>
    <x v="0"/>
    <m/>
    <x v="0"/>
    <m/>
    <m/>
    <m/>
    <m/>
    <m/>
    <m/>
    <m/>
    <m/>
    <m/>
  </r>
  <r>
    <x v="62"/>
    <x v="0"/>
    <x v="55"/>
    <x v="4"/>
    <d v="2017-03-29T00:00:00"/>
    <x v="4"/>
    <m/>
    <m/>
    <d v="2017-03-29T00:00:00"/>
    <d v="2017-03-30T00:00:00"/>
    <m/>
    <s v="Closed"/>
    <n v="1"/>
    <m/>
    <s v="Very High"/>
  </r>
  <r>
    <x v="63"/>
    <x v="0"/>
    <x v="56"/>
    <x v="7"/>
    <d v="2017-03-29T00:00:00"/>
    <x v="4"/>
    <m/>
    <m/>
    <d v="2017-03-30T00:00:00"/>
    <d v="2017-03-30T00:00:00"/>
    <m/>
    <s v="Closed"/>
    <n v="1"/>
    <m/>
    <s v="Very High"/>
  </r>
  <r>
    <x v="64"/>
    <x v="0"/>
    <x v="57"/>
    <x v="5"/>
    <d v="2017-03-29T00:00:00"/>
    <x v="4"/>
    <m/>
    <m/>
    <d v="2017-03-30T00:00:00"/>
    <d v="2017-03-30T00:00:00"/>
    <m/>
    <s v="Closed"/>
    <n v="1"/>
    <m/>
    <s v="Very High"/>
  </r>
  <r>
    <x v="65"/>
    <x v="0"/>
    <x v="58"/>
    <x v="1"/>
    <d v="2017-03-29T00:00:00"/>
    <x v="4"/>
    <m/>
    <m/>
    <m/>
    <m/>
    <m/>
    <m/>
    <m/>
    <m/>
    <s v="Very High"/>
  </r>
  <r>
    <x v="66"/>
    <x v="0"/>
    <x v="59"/>
    <x v="0"/>
    <m/>
    <x v="0"/>
    <m/>
    <m/>
    <m/>
    <m/>
    <m/>
    <m/>
    <m/>
    <m/>
    <m/>
  </r>
  <r>
    <x v="67"/>
    <x v="0"/>
    <x v="60"/>
    <x v="8"/>
    <d v="2017-03-30T00:00:00"/>
    <x v="6"/>
    <m/>
    <m/>
    <m/>
    <m/>
    <m/>
    <m/>
    <m/>
    <m/>
    <s v="High"/>
  </r>
  <r>
    <x v="68"/>
    <x v="0"/>
    <x v="61"/>
    <x v="1"/>
    <d v="2017-04-04T00:00:00"/>
    <x v="3"/>
    <m/>
    <m/>
    <m/>
    <m/>
    <m/>
    <m/>
    <m/>
    <m/>
    <s v="High"/>
  </r>
  <r>
    <x v="69"/>
    <x v="0"/>
    <x v="62"/>
    <x v="0"/>
    <m/>
    <x v="0"/>
    <m/>
    <m/>
    <m/>
    <m/>
    <m/>
    <m/>
    <m/>
    <m/>
    <m/>
  </r>
  <r>
    <x v="70"/>
    <x v="0"/>
    <x v="63"/>
    <x v="8"/>
    <d v="2017-03-30T00:00:00"/>
    <x v="8"/>
    <m/>
    <m/>
    <d v="2017-03-31T00:00:00"/>
    <d v="2017-03-31T00:00:00"/>
    <m/>
    <s v="Closed"/>
    <n v="1"/>
    <m/>
    <s v="Very High"/>
  </r>
  <r>
    <x v="71"/>
    <x v="0"/>
    <x v="64"/>
    <x v="4"/>
    <d v="2017-03-31T00:00:00"/>
    <x v="8"/>
    <m/>
    <m/>
    <d v="2017-03-31T00:00:00"/>
    <d v="2017-03-31T00:00:00"/>
    <m/>
    <s v="Closed"/>
    <n v="1"/>
    <m/>
    <s v="Very High"/>
  </r>
  <r>
    <x v="72"/>
    <x v="0"/>
    <x v="65"/>
    <x v="2"/>
    <d v="2017-03-31T00:00:00"/>
    <x v="8"/>
    <m/>
    <m/>
    <m/>
    <m/>
    <m/>
    <s v="Cancel"/>
    <m/>
    <m/>
    <s v="Very High"/>
  </r>
  <r>
    <x v="73"/>
    <x v="0"/>
    <x v="66"/>
    <x v="2"/>
    <d v="2017-03-31T00:00:00"/>
    <x v="6"/>
    <m/>
    <m/>
    <d v="2017-03-31T00:00:00"/>
    <d v="2017-03-31T00:00:00"/>
    <m/>
    <s v="Closed"/>
    <n v="1"/>
    <m/>
    <s v="Very High"/>
  </r>
  <r>
    <x v="74"/>
    <x v="0"/>
    <x v="67"/>
    <x v="8"/>
    <d v="2017-03-31T00:00:00"/>
    <x v="6"/>
    <m/>
    <m/>
    <d v="2017-04-03T00:00:00"/>
    <d v="2017-04-03T00:00:00"/>
    <m/>
    <s v="Closed"/>
    <n v="1"/>
    <m/>
    <s v="Very High"/>
  </r>
  <r>
    <x v="75"/>
    <x v="0"/>
    <x v="68"/>
    <x v="8"/>
    <d v="2017-04-04T00:00:00"/>
    <x v="3"/>
    <m/>
    <m/>
    <m/>
    <m/>
    <m/>
    <m/>
    <m/>
    <m/>
    <s v="Very High"/>
  </r>
  <r>
    <x v="76"/>
    <x v="0"/>
    <x v="69"/>
    <x v="1"/>
    <d v="2017-04-04T00:00:00"/>
    <x v="3"/>
    <m/>
    <m/>
    <m/>
    <m/>
    <m/>
    <m/>
    <m/>
    <m/>
    <s v="Very High"/>
  </r>
  <r>
    <x v="77"/>
    <x v="0"/>
    <x v="70"/>
    <x v="0"/>
    <m/>
    <x v="0"/>
    <m/>
    <m/>
    <m/>
    <m/>
    <m/>
    <m/>
    <m/>
    <m/>
    <m/>
  </r>
  <r>
    <x v="78"/>
    <x v="0"/>
    <x v="71"/>
    <x v="8"/>
    <d v="2017-03-30T00:00:00"/>
    <x v="8"/>
    <m/>
    <m/>
    <d v="2017-03-31T00:00:00"/>
    <d v="2017-04-03T00:00:00"/>
    <m/>
    <s v="Closed"/>
    <n v="1"/>
    <m/>
    <s v="Very High"/>
  </r>
  <r>
    <x v="79"/>
    <x v="0"/>
    <x v="65"/>
    <x v="2"/>
    <d v="2017-03-31T00:00:00"/>
    <x v="8"/>
    <m/>
    <m/>
    <m/>
    <m/>
    <m/>
    <s v="Cancel"/>
    <m/>
    <m/>
    <s v="Very High"/>
  </r>
  <r>
    <x v="80"/>
    <x v="0"/>
    <x v="66"/>
    <x v="2"/>
    <d v="2017-03-31T00:00:00"/>
    <x v="6"/>
    <m/>
    <m/>
    <d v="2017-03-31T00:00:00"/>
    <d v="2017-03-31T00:00:00"/>
    <m/>
    <s v="Closed"/>
    <n v="1"/>
    <m/>
    <s v="Very High"/>
  </r>
  <r>
    <x v="81"/>
    <x v="0"/>
    <x v="67"/>
    <x v="8"/>
    <d v="2017-03-31T00:00:00"/>
    <x v="6"/>
    <m/>
    <m/>
    <m/>
    <m/>
    <m/>
    <m/>
    <m/>
    <m/>
    <s v="Very High"/>
  </r>
  <r>
    <x v="82"/>
    <x v="0"/>
    <x v="72"/>
    <x v="8"/>
    <d v="2017-04-04T00:00:00"/>
    <x v="3"/>
    <m/>
    <m/>
    <m/>
    <m/>
    <m/>
    <m/>
    <m/>
    <m/>
    <s v="Very High"/>
  </r>
  <r>
    <x v="83"/>
    <x v="0"/>
    <x v="69"/>
    <x v="1"/>
    <d v="2017-04-04T00:00:00"/>
    <x v="3"/>
    <m/>
    <m/>
    <m/>
    <m/>
    <m/>
    <m/>
    <m/>
    <m/>
    <s v="Very High"/>
  </r>
  <r>
    <x v="84"/>
    <x v="0"/>
    <x v="73"/>
    <x v="0"/>
    <m/>
    <x v="0"/>
    <m/>
    <m/>
    <m/>
    <m/>
    <m/>
    <m/>
    <m/>
    <m/>
    <m/>
  </r>
  <r>
    <x v="85"/>
    <x v="0"/>
    <x v="74"/>
    <x v="8"/>
    <d v="2017-03-30T00:00:00"/>
    <x v="4"/>
    <m/>
    <m/>
    <d v="2017-03-30T00:00:00"/>
    <d v="2017-03-30T00:00:00"/>
    <m/>
    <s v="Closed"/>
    <n v="1"/>
    <m/>
    <s v="Very High"/>
  </r>
  <r>
    <x v="86"/>
    <x v="0"/>
    <x v="67"/>
    <x v="8"/>
    <d v="2017-03-30T00:00:00"/>
    <x v="4"/>
    <m/>
    <m/>
    <d v="2017-03-30T00:00:00"/>
    <d v="2017-03-30T00:00:00"/>
    <m/>
    <s v="Closed"/>
    <n v="1"/>
    <m/>
    <s v="Very High"/>
  </r>
  <r>
    <x v="87"/>
    <x v="0"/>
    <x v="75"/>
    <x v="2"/>
    <d v="2017-03-30T00:00:00"/>
    <x v="4"/>
    <m/>
    <m/>
    <d v="2017-03-30T00:00:00"/>
    <d v="2017-03-31T00:00:00"/>
    <m/>
    <s v="Closed"/>
    <n v="1"/>
    <m/>
    <s v="Very High"/>
  </r>
  <r>
    <x v="88"/>
    <x v="0"/>
    <x v="76"/>
    <x v="1"/>
    <d v="2017-03-31T00:00:00"/>
    <x v="8"/>
    <m/>
    <m/>
    <d v="2017-03-31T00:00:00"/>
    <m/>
    <m/>
    <s v="On-going"/>
    <n v="0.5"/>
    <m/>
    <s v="Very High"/>
  </r>
  <r>
    <x v="89"/>
    <x v="0"/>
    <x v="77"/>
    <x v="0"/>
    <m/>
    <x v="0"/>
    <m/>
    <m/>
    <m/>
    <m/>
    <m/>
    <m/>
    <m/>
    <m/>
    <m/>
  </r>
  <r>
    <x v="90"/>
    <x v="0"/>
    <x v="74"/>
    <x v="8"/>
    <d v="2017-03-30T00:00:00"/>
    <x v="4"/>
    <m/>
    <m/>
    <d v="2017-03-30T00:00:00"/>
    <d v="2017-03-30T00:00:00"/>
    <m/>
    <s v="Closed"/>
    <n v="1"/>
    <m/>
    <s v="Very High"/>
  </r>
  <r>
    <x v="91"/>
    <x v="0"/>
    <x v="67"/>
    <x v="8"/>
    <d v="2017-03-30T00:00:00"/>
    <x v="4"/>
    <m/>
    <m/>
    <d v="2017-03-30T00:00:00"/>
    <d v="2017-03-30T00:00:00"/>
    <m/>
    <s v="Closed"/>
    <n v="1"/>
    <m/>
    <s v="Very High"/>
  </r>
  <r>
    <x v="92"/>
    <x v="0"/>
    <x v="75"/>
    <x v="2"/>
    <d v="2017-03-30T00:00:00"/>
    <x v="4"/>
    <m/>
    <m/>
    <d v="2017-03-30T00:00:00"/>
    <d v="2017-03-31T00:00:00"/>
    <m/>
    <s v="Closed"/>
    <n v="1"/>
    <m/>
    <s v="Very High"/>
  </r>
  <r>
    <x v="93"/>
    <x v="0"/>
    <x v="76"/>
    <x v="1"/>
    <d v="2017-03-31T00:00:00"/>
    <x v="8"/>
    <m/>
    <m/>
    <d v="2017-03-31T00:00:00"/>
    <m/>
    <m/>
    <s v="On-going"/>
    <n v="0.5"/>
    <m/>
    <s v="Very High"/>
  </r>
  <r>
    <x v="94"/>
    <x v="0"/>
    <x v="78"/>
    <x v="0"/>
    <m/>
    <x v="0"/>
    <m/>
    <m/>
    <m/>
    <m/>
    <m/>
    <m/>
    <m/>
    <m/>
    <m/>
  </r>
  <r>
    <x v="95"/>
    <x v="0"/>
    <x v="79"/>
    <x v="4"/>
    <d v="2017-03-29T00:00:00"/>
    <x v="8"/>
    <m/>
    <m/>
    <d v="2017-03-29T00:00:00"/>
    <d v="2017-03-30T00:00:00"/>
    <m/>
    <s v="Closed"/>
    <n v="1"/>
    <m/>
    <s v="High"/>
  </r>
  <r>
    <x v="96"/>
    <x v="0"/>
    <x v="80"/>
    <x v="4"/>
    <d v="2017-03-29T00:00:00"/>
    <x v="8"/>
    <m/>
    <m/>
    <d v="2017-03-30T00:00:00"/>
    <d v="2017-03-30T00:00:00"/>
    <m/>
    <s v="Closed"/>
    <n v="1"/>
    <m/>
    <s v="High"/>
  </r>
  <r>
    <x v="97"/>
    <x v="0"/>
    <x v="81"/>
    <x v="9"/>
    <d v="2017-03-31T00:00:00"/>
    <x v="8"/>
    <m/>
    <m/>
    <d v="2017-03-30T00:00:00"/>
    <m/>
    <m/>
    <s v="On-going"/>
    <n v="0.5"/>
    <m/>
    <s v="High"/>
  </r>
  <r>
    <x v="98"/>
    <x v="0"/>
    <x v="82"/>
    <x v="1"/>
    <d v="2017-04-03T00:00:00"/>
    <x v="3"/>
    <m/>
    <m/>
    <m/>
    <m/>
    <m/>
    <m/>
    <m/>
    <m/>
    <s v="High"/>
  </r>
  <r>
    <x v="99"/>
    <x v="0"/>
    <x v="83"/>
    <x v="0"/>
    <m/>
    <x v="0"/>
    <m/>
    <m/>
    <m/>
    <m/>
    <m/>
    <m/>
    <m/>
    <m/>
    <m/>
  </r>
  <r>
    <x v="100"/>
    <x v="0"/>
    <x v="79"/>
    <x v="4"/>
    <d v="2017-03-29T00:00:00"/>
    <x v="8"/>
    <m/>
    <m/>
    <d v="2017-03-29T00:00:00"/>
    <d v="2017-03-30T00:00:00"/>
    <m/>
    <s v="Closed"/>
    <n v="1"/>
    <m/>
    <s v="High"/>
  </r>
  <r>
    <x v="101"/>
    <x v="0"/>
    <x v="80"/>
    <x v="4"/>
    <d v="2017-03-29T00:00:00"/>
    <x v="8"/>
    <m/>
    <m/>
    <d v="2017-03-30T00:00:00"/>
    <d v="2017-03-30T00:00:00"/>
    <m/>
    <s v="Closed"/>
    <n v="1"/>
    <m/>
    <s v="High"/>
  </r>
  <r>
    <x v="102"/>
    <x v="0"/>
    <x v="81"/>
    <x v="9"/>
    <d v="2017-03-31T00:00:00"/>
    <x v="8"/>
    <m/>
    <m/>
    <m/>
    <m/>
    <m/>
    <m/>
    <m/>
    <m/>
    <s v="High"/>
  </r>
  <r>
    <x v="103"/>
    <x v="0"/>
    <x v="82"/>
    <x v="1"/>
    <d v="2017-04-03T00:00:00"/>
    <x v="3"/>
    <m/>
    <m/>
    <m/>
    <m/>
    <m/>
    <m/>
    <m/>
    <m/>
    <s v="High"/>
  </r>
  <r>
    <x v="104"/>
    <x v="0"/>
    <x v="84"/>
    <x v="0"/>
    <m/>
    <x v="0"/>
    <m/>
    <m/>
    <m/>
    <m/>
    <m/>
    <m/>
    <m/>
    <m/>
    <m/>
  </r>
  <r>
    <x v="105"/>
    <x v="0"/>
    <x v="85"/>
    <x v="4"/>
    <d v="2017-04-10T00:00:00"/>
    <x v="2"/>
    <m/>
    <m/>
    <m/>
    <m/>
    <m/>
    <m/>
    <m/>
    <m/>
    <s v="Low"/>
  </r>
  <r>
    <x v="106"/>
    <x v="0"/>
    <x v="86"/>
    <x v="1"/>
    <d v="2017-04-11T00:00:00"/>
    <x v="11"/>
    <m/>
    <m/>
    <m/>
    <m/>
    <m/>
    <m/>
    <m/>
    <m/>
    <s v="Low"/>
  </r>
  <r>
    <x v="107"/>
    <x v="0"/>
    <x v="87"/>
    <x v="0"/>
    <m/>
    <x v="0"/>
    <m/>
    <m/>
    <m/>
    <m/>
    <m/>
    <m/>
    <m/>
    <m/>
    <m/>
  </r>
  <r>
    <x v="108"/>
    <x v="0"/>
    <x v="74"/>
    <x v="8"/>
    <d v="2017-03-30T00:00:00"/>
    <x v="3"/>
    <m/>
    <m/>
    <m/>
    <m/>
    <m/>
    <m/>
    <m/>
    <m/>
    <s v="High"/>
  </r>
  <r>
    <x v="109"/>
    <x v="0"/>
    <x v="67"/>
    <x v="8"/>
    <d v="2017-04-05T00:00:00"/>
    <x v="1"/>
    <m/>
    <m/>
    <m/>
    <m/>
    <m/>
    <m/>
    <m/>
    <m/>
    <s v="High"/>
  </r>
  <r>
    <x v="110"/>
    <x v="0"/>
    <x v="75"/>
    <x v="6"/>
    <d v="2017-04-10T00:00:00"/>
    <x v="2"/>
    <m/>
    <m/>
    <m/>
    <m/>
    <m/>
    <m/>
    <m/>
    <m/>
    <s v="High"/>
  </r>
  <r>
    <x v="111"/>
    <x v="0"/>
    <x v="76"/>
    <x v="1"/>
    <d v="2017-04-10T00:00:00"/>
    <x v="2"/>
    <m/>
    <m/>
    <m/>
    <m/>
    <m/>
    <m/>
    <m/>
    <m/>
    <s v="High"/>
  </r>
  <r>
    <x v="112"/>
    <x v="0"/>
    <x v="88"/>
    <x v="0"/>
    <m/>
    <x v="0"/>
    <m/>
    <m/>
    <m/>
    <m/>
    <m/>
    <m/>
    <m/>
    <m/>
    <m/>
  </r>
  <r>
    <x v="113"/>
    <x v="0"/>
    <x v="89"/>
    <x v="4"/>
    <d v="2017-03-30T00:00:00"/>
    <x v="6"/>
    <m/>
    <m/>
    <m/>
    <m/>
    <m/>
    <m/>
    <m/>
    <m/>
    <m/>
  </r>
  <r>
    <x v="114"/>
    <x v="0"/>
    <x v="90"/>
    <x v="4"/>
    <m/>
    <x v="1"/>
    <m/>
    <m/>
    <m/>
    <m/>
    <m/>
    <m/>
    <m/>
    <m/>
    <m/>
  </r>
  <r>
    <x v="115"/>
    <x v="0"/>
    <x v="91"/>
    <x v="1"/>
    <d v="2017-04-10T00:00:00"/>
    <x v="2"/>
    <m/>
    <m/>
    <m/>
    <m/>
    <m/>
    <m/>
    <m/>
    <m/>
    <m/>
  </r>
  <r>
    <x v="116"/>
    <x v="0"/>
    <x v="92"/>
    <x v="0"/>
    <m/>
    <x v="0"/>
    <m/>
    <m/>
    <m/>
    <m/>
    <m/>
    <m/>
    <m/>
    <m/>
    <m/>
  </r>
  <r>
    <x v="117"/>
    <x v="0"/>
    <x v="93"/>
    <x v="0"/>
    <m/>
    <x v="0"/>
    <m/>
    <m/>
    <m/>
    <m/>
    <m/>
    <m/>
    <m/>
    <m/>
    <m/>
  </r>
  <r>
    <x v="118"/>
    <x v="0"/>
    <x v="94"/>
    <x v="0"/>
    <m/>
    <x v="0"/>
    <m/>
    <m/>
    <m/>
    <m/>
    <m/>
    <m/>
    <m/>
    <m/>
    <m/>
  </r>
  <r>
    <x v="119"/>
    <x v="0"/>
    <x v="95"/>
    <x v="0"/>
    <m/>
    <x v="0"/>
    <m/>
    <m/>
    <m/>
    <m/>
    <m/>
    <m/>
    <m/>
    <m/>
    <m/>
  </r>
  <r>
    <x v="120"/>
    <x v="0"/>
    <x v="96"/>
    <x v="0"/>
    <m/>
    <x v="0"/>
    <m/>
    <m/>
    <m/>
    <m/>
    <m/>
    <m/>
    <m/>
    <m/>
    <m/>
  </r>
  <r>
    <x v="121"/>
    <x v="0"/>
    <x v="97"/>
    <x v="0"/>
    <m/>
    <x v="0"/>
    <m/>
    <m/>
    <m/>
    <m/>
    <m/>
    <m/>
    <m/>
    <m/>
    <m/>
  </r>
  <r>
    <x v="122"/>
    <x v="0"/>
    <x v="98"/>
    <x v="0"/>
    <m/>
    <x v="0"/>
    <m/>
    <m/>
    <m/>
    <m/>
    <m/>
    <m/>
    <m/>
    <m/>
    <m/>
  </r>
  <r>
    <x v="123"/>
    <x v="0"/>
    <x v="99"/>
    <x v="0"/>
    <m/>
    <x v="0"/>
    <m/>
    <m/>
    <m/>
    <m/>
    <m/>
    <m/>
    <m/>
    <m/>
    <m/>
  </r>
  <r>
    <x v="124"/>
    <x v="0"/>
    <x v="100"/>
    <x v="0"/>
    <m/>
    <x v="0"/>
    <m/>
    <m/>
    <m/>
    <m/>
    <m/>
    <m/>
    <m/>
    <m/>
    <m/>
  </r>
  <r>
    <x v="125"/>
    <x v="0"/>
    <x v="101"/>
    <x v="1"/>
    <d v="2017-04-04T00:00:00"/>
    <x v="3"/>
    <m/>
    <m/>
    <m/>
    <m/>
    <m/>
    <m/>
    <m/>
    <m/>
    <s v="Very High"/>
  </r>
  <r>
    <x v="0"/>
    <x v="0"/>
    <x v="0"/>
    <x v="0"/>
    <m/>
    <x v="0"/>
    <m/>
    <m/>
    <m/>
    <m/>
    <m/>
    <m/>
    <m/>
    <m/>
    <m/>
  </r>
  <r>
    <x v="126"/>
    <x v="0"/>
    <x v="36"/>
    <x v="0"/>
    <m/>
    <x v="0"/>
    <m/>
    <m/>
    <m/>
    <m/>
    <m/>
    <m/>
    <m/>
    <m/>
    <m/>
  </r>
  <r>
    <x v="127"/>
    <x v="0"/>
    <x v="102"/>
    <x v="0"/>
    <m/>
    <x v="0"/>
    <m/>
    <m/>
    <m/>
    <m/>
    <m/>
    <m/>
    <m/>
    <m/>
    <m/>
  </r>
  <r>
    <x v="128"/>
    <x v="0"/>
    <x v="103"/>
    <x v="0"/>
    <m/>
    <x v="0"/>
    <m/>
    <m/>
    <m/>
    <m/>
    <m/>
    <m/>
    <m/>
    <m/>
    <m/>
  </r>
  <r>
    <x v="129"/>
    <x v="0"/>
    <x v="104"/>
    <x v="0"/>
    <m/>
    <x v="0"/>
    <m/>
    <m/>
    <m/>
    <m/>
    <m/>
    <m/>
    <m/>
    <m/>
    <m/>
  </r>
  <r>
    <x v="130"/>
    <x v="0"/>
    <x v="105"/>
    <x v="0"/>
    <m/>
    <x v="0"/>
    <m/>
    <m/>
    <m/>
    <m/>
    <m/>
    <m/>
    <m/>
    <m/>
    <m/>
  </r>
  <r>
    <x v="131"/>
    <x v="0"/>
    <x v="40"/>
    <x v="0"/>
    <m/>
    <x v="0"/>
    <m/>
    <m/>
    <m/>
    <m/>
    <m/>
    <m/>
    <m/>
    <m/>
    <m/>
  </r>
  <r>
    <x v="132"/>
    <x v="0"/>
    <x v="106"/>
    <x v="0"/>
    <m/>
    <x v="0"/>
    <m/>
    <m/>
    <m/>
    <m/>
    <m/>
    <m/>
    <m/>
    <m/>
    <m/>
  </r>
  <r>
    <x v="133"/>
    <x v="0"/>
    <x v="107"/>
    <x v="0"/>
    <m/>
    <x v="0"/>
    <m/>
    <m/>
    <m/>
    <m/>
    <m/>
    <m/>
    <m/>
    <m/>
    <m/>
  </r>
  <r>
    <x v="134"/>
    <x v="0"/>
    <x v="108"/>
    <x v="0"/>
    <m/>
    <x v="0"/>
    <m/>
    <m/>
    <m/>
    <m/>
    <m/>
    <m/>
    <m/>
    <m/>
    <m/>
  </r>
  <r>
    <x v="135"/>
    <x v="0"/>
    <x v="109"/>
    <x v="0"/>
    <m/>
    <x v="0"/>
    <m/>
    <m/>
    <m/>
    <m/>
    <m/>
    <m/>
    <m/>
    <m/>
    <m/>
  </r>
  <r>
    <x v="136"/>
    <x v="0"/>
    <x v="41"/>
    <x v="0"/>
    <m/>
    <x v="0"/>
    <m/>
    <m/>
    <m/>
    <m/>
    <m/>
    <m/>
    <m/>
    <m/>
    <m/>
  </r>
  <r>
    <x v="137"/>
    <x v="0"/>
    <x v="110"/>
    <x v="0"/>
    <m/>
    <x v="0"/>
    <m/>
    <m/>
    <m/>
    <m/>
    <m/>
    <m/>
    <m/>
    <m/>
    <m/>
  </r>
  <r>
    <x v="138"/>
    <x v="0"/>
    <x v="111"/>
    <x v="0"/>
    <m/>
    <x v="0"/>
    <m/>
    <m/>
    <m/>
    <m/>
    <m/>
    <m/>
    <m/>
    <m/>
    <m/>
  </r>
  <r>
    <x v="139"/>
    <x v="0"/>
    <x v="112"/>
    <x v="0"/>
    <m/>
    <x v="0"/>
    <m/>
    <m/>
    <m/>
    <m/>
    <m/>
    <m/>
    <m/>
    <m/>
    <m/>
  </r>
  <r>
    <x v="140"/>
    <x v="0"/>
    <x v="113"/>
    <x v="0"/>
    <m/>
    <x v="0"/>
    <m/>
    <m/>
    <m/>
    <m/>
    <m/>
    <m/>
    <m/>
    <m/>
    <m/>
  </r>
  <r>
    <x v="141"/>
    <x v="0"/>
    <x v="46"/>
    <x v="0"/>
    <m/>
    <x v="0"/>
    <m/>
    <m/>
    <m/>
    <m/>
    <m/>
    <m/>
    <m/>
    <m/>
    <m/>
  </r>
  <r>
    <x v="142"/>
    <x v="0"/>
    <x v="114"/>
    <x v="0"/>
    <m/>
    <x v="0"/>
    <m/>
    <m/>
    <m/>
    <m/>
    <m/>
    <m/>
    <m/>
    <m/>
    <m/>
  </r>
  <r>
    <x v="143"/>
    <x v="0"/>
    <x v="115"/>
    <x v="0"/>
    <m/>
    <x v="0"/>
    <m/>
    <m/>
    <m/>
    <m/>
    <m/>
    <m/>
    <m/>
    <m/>
    <m/>
  </r>
  <r>
    <x v="144"/>
    <x v="0"/>
    <x v="116"/>
    <x v="0"/>
    <m/>
    <x v="0"/>
    <m/>
    <m/>
    <m/>
    <m/>
    <m/>
    <m/>
    <m/>
    <m/>
    <m/>
  </r>
  <r>
    <x v="145"/>
    <x v="0"/>
    <x v="117"/>
    <x v="0"/>
    <m/>
    <x v="0"/>
    <m/>
    <m/>
    <m/>
    <m/>
    <m/>
    <m/>
    <m/>
    <m/>
    <m/>
  </r>
  <r>
    <x v="146"/>
    <x v="0"/>
    <x v="49"/>
    <x v="0"/>
    <m/>
    <x v="0"/>
    <m/>
    <m/>
    <m/>
    <m/>
    <m/>
    <m/>
    <m/>
    <m/>
    <m/>
  </r>
  <r>
    <x v="147"/>
    <x v="0"/>
    <x v="118"/>
    <x v="0"/>
    <m/>
    <x v="0"/>
    <m/>
    <m/>
    <m/>
    <m/>
    <m/>
    <m/>
    <m/>
    <m/>
    <m/>
  </r>
  <r>
    <x v="148"/>
    <x v="0"/>
    <x v="119"/>
    <x v="0"/>
    <m/>
    <x v="0"/>
    <m/>
    <m/>
    <m/>
    <m/>
    <m/>
    <m/>
    <m/>
    <m/>
    <m/>
  </r>
  <r>
    <x v="149"/>
    <x v="0"/>
    <x v="120"/>
    <x v="0"/>
    <m/>
    <x v="0"/>
    <m/>
    <m/>
    <m/>
    <m/>
    <m/>
    <m/>
    <m/>
    <m/>
    <m/>
  </r>
  <r>
    <x v="150"/>
    <x v="0"/>
    <x v="121"/>
    <x v="0"/>
    <m/>
    <x v="0"/>
    <m/>
    <m/>
    <m/>
    <m/>
    <m/>
    <m/>
    <m/>
    <m/>
    <m/>
  </r>
  <r>
    <x v="151"/>
    <x v="0"/>
    <x v="53"/>
    <x v="0"/>
    <m/>
    <x v="0"/>
    <m/>
    <m/>
    <m/>
    <m/>
    <m/>
    <m/>
    <m/>
    <m/>
    <m/>
  </r>
  <r>
    <x v="152"/>
    <x v="0"/>
    <x v="122"/>
    <x v="0"/>
    <m/>
    <x v="0"/>
    <m/>
    <m/>
    <m/>
    <m/>
    <m/>
    <m/>
    <m/>
    <m/>
    <m/>
  </r>
  <r>
    <x v="153"/>
    <x v="0"/>
    <x v="123"/>
    <x v="0"/>
    <m/>
    <x v="0"/>
    <m/>
    <m/>
    <m/>
    <m/>
    <m/>
    <m/>
    <m/>
    <m/>
    <m/>
  </r>
  <r>
    <x v="154"/>
    <x v="0"/>
    <x v="124"/>
    <x v="0"/>
    <m/>
    <x v="0"/>
    <m/>
    <m/>
    <m/>
    <m/>
    <m/>
    <m/>
    <m/>
    <m/>
    <m/>
  </r>
  <r>
    <x v="155"/>
    <x v="0"/>
    <x v="125"/>
    <x v="0"/>
    <m/>
    <x v="0"/>
    <m/>
    <m/>
    <m/>
    <m/>
    <m/>
    <m/>
    <m/>
    <m/>
    <m/>
  </r>
  <r>
    <x v="156"/>
    <x v="0"/>
    <x v="54"/>
    <x v="0"/>
    <m/>
    <x v="0"/>
    <m/>
    <m/>
    <m/>
    <m/>
    <m/>
    <m/>
    <m/>
    <m/>
    <m/>
  </r>
  <r>
    <x v="157"/>
    <x v="0"/>
    <x v="126"/>
    <x v="0"/>
    <m/>
    <x v="0"/>
    <m/>
    <m/>
    <m/>
    <m/>
    <m/>
    <m/>
    <m/>
    <m/>
    <m/>
  </r>
  <r>
    <x v="158"/>
    <x v="0"/>
    <x v="127"/>
    <x v="0"/>
    <m/>
    <x v="0"/>
    <m/>
    <m/>
    <m/>
    <m/>
    <m/>
    <m/>
    <m/>
    <m/>
    <m/>
  </r>
  <r>
    <x v="159"/>
    <x v="0"/>
    <x v="128"/>
    <x v="0"/>
    <m/>
    <x v="0"/>
    <m/>
    <m/>
    <m/>
    <m/>
    <m/>
    <m/>
    <m/>
    <m/>
    <m/>
  </r>
  <r>
    <x v="160"/>
    <x v="0"/>
    <x v="129"/>
    <x v="0"/>
    <m/>
    <x v="0"/>
    <m/>
    <m/>
    <m/>
    <m/>
    <m/>
    <m/>
    <m/>
    <m/>
    <m/>
  </r>
  <r>
    <x v="161"/>
    <x v="0"/>
    <x v="59"/>
    <x v="0"/>
    <m/>
    <x v="0"/>
    <m/>
    <m/>
    <m/>
    <m/>
    <m/>
    <m/>
    <m/>
    <m/>
    <m/>
  </r>
  <r>
    <x v="162"/>
    <x v="0"/>
    <x v="130"/>
    <x v="0"/>
    <m/>
    <x v="0"/>
    <m/>
    <m/>
    <m/>
    <m/>
    <m/>
    <m/>
    <m/>
    <m/>
    <m/>
  </r>
  <r>
    <x v="163"/>
    <x v="0"/>
    <x v="131"/>
    <x v="0"/>
    <m/>
    <x v="0"/>
    <m/>
    <m/>
    <m/>
    <m/>
    <m/>
    <m/>
    <m/>
    <m/>
    <m/>
  </r>
  <r>
    <x v="164"/>
    <x v="0"/>
    <x v="132"/>
    <x v="0"/>
    <m/>
    <x v="0"/>
    <m/>
    <m/>
    <m/>
    <m/>
    <m/>
    <m/>
    <m/>
    <m/>
    <m/>
  </r>
  <r>
    <x v="165"/>
    <x v="0"/>
    <x v="133"/>
    <x v="0"/>
    <m/>
    <x v="0"/>
    <m/>
    <m/>
    <m/>
    <m/>
    <m/>
    <m/>
    <m/>
    <m/>
    <m/>
  </r>
  <r>
    <x v="166"/>
    <x v="0"/>
    <x v="62"/>
    <x v="0"/>
    <m/>
    <x v="0"/>
    <m/>
    <m/>
    <m/>
    <m/>
    <m/>
    <m/>
    <m/>
    <m/>
    <m/>
  </r>
  <r>
    <x v="167"/>
    <x v="0"/>
    <x v="70"/>
    <x v="0"/>
    <m/>
    <x v="0"/>
    <m/>
    <m/>
    <m/>
    <m/>
    <m/>
    <m/>
    <m/>
    <m/>
    <m/>
  </r>
  <r>
    <x v="168"/>
    <x v="0"/>
    <x v="73"/>
    <x v="0"/>
    <m/>
    <x v="0"/>
    <m/>
    <m/>
    <m/>
    <m/>
    <m/>
    <m/>
    <m/>
    <m/>
    <m/>
  </r>
  <r>
    <x v="169"/>
    <x v="0"/>
    <x v="134"/>
    <x v="0"/>
    <m/>
    <x v="0"/>
    <m/>
    <m/>
    <m/>
    <m/>
    <m/>
    <m/>
    <m/>
    <m/>
    <m/>
  </r>
  <r>
    <x v="170"/>
    <x v="0"/>
    <x v="135"/>
    <x v="0"/>
    <m/>
    <x v="0"/>
    <m/>
    <m/>
    <m/>
    <m/>
    <m/>
    <m/>
    <m/>
    <m/>
    <m/>
  </r>
  <r>
    <x v="171"/>
    <x v="0"/>
    <x v="136"/>
    <x v="0"/>
    <m/>
    <x v="0"/>
    <m/>
    <m/>
    <m/>
    <m/>
    <m/>
    <m/>
    <m/>
    <m/>
    <m/>
  </r>
  <r>
    <x v="172"/>
    <x v="0"/>
    <x v="137"/>
    <x v="0"/>
    <m/>
    <x v="0"/>
    <m/>
    <m/>
    <m/>
    <m/>
    <m/>
    <m/>
    <m/>
    <m/>
    <m/>
  </r>
  <r>
    <x v="173"/>
    <x v="0"/>
    <x v="77"/>
    <x v="0"/>
    <m/>
    <x v="0"/>
    <m/>
    <m/>
    <m/>
    <m/>
    <m/>
    <m/>
    <m/>
    <m/>
    <m/>
  </r>
  <r>
    <x v="174"/>
    <x v="0"/>
    <x v="138"/>
    <x v="0"/>
    <m/>
    <x v="0"/>
    <m/>
    <m/>
    <m/>
    <m/>
    <m/>
    <m/>
    <m/>
    <m/>
    <m/>
  </r>
  <r>
    <x v="175"/>
    <x v="0"/>
    <x v="139"/>
    <x v="0"/>
    <m/>
    <x v="0"/>
    <m/>
    <m/>
    <m/>
    <m/>
    <m/>
    <m/>
    <m/>
    <m/>
    <m/>
  </r>
  <r>
    <x v="176"/>
    <x v="0"/>
    <x v="140"/>
    <x v="0"/>
    <m/>
    <x v="0"/>
    <m/>
    <m/>
    <m/>
    <m/>
    <m/>
    <m/>
    <m/>
    <m/>
    <m/>
  </r>
  <r>
    <x v="177"/>
    <x v="0"/>
    <x v="141"/>
    <x v="0"/>
    <m/>
    <x v="0"/>
    <m/>
    <m/>
    <m/>
    <m/>
    <m/>
    <m/>
    <m/>
    <m/>
    <m/>
  </r>
  <r>
    <x v="178"/>
    <x v="0"/>
    <x v="142"/>
    <x v="0"/>
    <m/>
    <x v="0"/>
    <m/>
    <m/>
    <m/>
    <m/>
    <m/>
    <m/>
    <m/>
    <m/>
    <m/>
  </r>
  <r>
    <x v="179"/>
    <x v="0"/>
    <x v="143"/>
    <x v="0"/>
    <m/>
    <x v="0"/>
    <m/>
    <m/>
    <m/>
    <m/>
    <m/>
    <m/>
    <m/>
    <m/>
    <m/>
  </r>
  <r>
    <x v="180"/>
    <x v="0"/>
    <x v="144"/>
    <x v="0"/>
    <m/>
    <x v="0"/>
    <m/>
    <m/>
    <m/>
    <m/>
    <m/>
    <m/>
    <m/>
    <m/>
    <m/>
  </r>
  <r>
    <x v="181"/>
    <x v="0"/>
    <x v="145"/>
    <x v="0"/>
    <m/>
    <x v="0"/>
    <m/>
    <m/>
    <m/>
    <m/>
    <m/>
    <m/>
    <m/>
    <m/>
    <m/>
  </r>
  <r>
    <x v="182"/>
    <x v="0"/>
    <x v="146"/>
    <x v="0"/>
    <m/>
    <x v="0"/>
    <m/>
    <m/>
    <m/>
    <m/>
    <m/>
    <m/>
    <m/>
    <m/>
    <m/>
  </r>
  <r>
    <x v="183"/>
    <x v="0"/>
    <x v="78"/>
    <x v="0"/>
    <m/>
    <x v="0"/>
    <m/>
    <m/>
    <m/>
    <m/>
    <m/>
    <m/>
    <m/>
    <m/>
    <m/>
  </r>
  <r>
    <x v="184"/>
    <x v="0"/>
    <x v="147"/>
    <x v="0"/>
    <m/>
    <x v="0"/>
    <m/>
    <m/>
    <m/>
    <m/>
    <m/>
    <m/>
    <m/>
    <m/>
    <m/>
  </r>
  <r>
    <x v="185"/>
    <x v="0"/>
    <x v="148"/>
    <x v="0"/>
    <m/>
    <x v="0"/>
    <m/>
    <m/>
    <m/>
    <m/>
    <m/>
    <m/>
    <m/>
    <m/>
    <m/>
  </r>
  <r>
    <x v="186"/>
    <x v="0"/>
    <x v="149"/>
    <x v="0"/>
    <m/>
    <x v="0"/>
    <m/>
    <m/>
    <m/>
    <m/>
    <m/>
    <m/>
    <m/>
    <m/>
    <m/>
  </r>
  <r>
    <x v="187"/>
    <x v="0"/>
    <x v="150"/>
    <x v="0"/>
    <m/>
    <x v="0"/>
    <m/>
    <m/>
    <m/>
    <m/>
    <m/>
    <m/>
    <m/>
    <m/>
    <m/>
  </r>
  <r>
    <x v="188"/>
    <x v="0"/>
    <x v="151"/>
    <x v="0"/>
    <m/>
    <x v="0"/>
    <m/>
    <m/>
    <m/>
    <m/>
    <m/>
    <m/>
    <m/>
    <m/>
    <m/>
  </r>
  <r>
    <x v="189"/>
    <x v="0"/>
    <x v="152"/>
    <x v="0"/>
    <m/>
    <x v="0"/>
    <m/>
    <m/>
    <m/>
    <m/>
    <m/>
    <m/>
    <m/>
    <m/>
    <m/>
  </r>
  <r>
    <x v="190"/>
    <x v="0"/>
    <x v="153"/>
    <x v="0"/>
    <m/>
    <x v="0"/>
    <m/>
    <m/>
    <m/>
    <m/>
    <m/>
    <m/>
    <m/>
    <m/>
    <m/>
  </r>
  <r>
    <x v="191"/>
    <x v="0"/>
    <x v="154"/>
    <x v="0"/>
    <m/>
    <x v="0"/>
    <m/>
    <m/>
    <m/>
    <m/>
    <m/>
    <m/>
    <m/>
    <m/>
    <m/>
  </r>
  <r>
    <x v="192"/>
    <x v="0"/>
    <x v="155"/>
    <x v="0"/>
    <m/>
    <x v="0"/>
    <m/>
    <m/>
    <m/>
    <m/>
    <m/>
    <m/>
    <m/>
    <m/>
    <m/>
  </r>
  <r>
    <x v="193"/>
    <x v="0"/>
    <x v="156"/>
    <x v="0"/>
    <m/>
    <x v="0"/>
    <m/>
    <m/>
    <m/>
    <m/>
    <m/>
    <m/>
    <m/>
    <m/>
    <m/>
  </r>
  <r>
    <x v="194"/>
    <x v="0"/>
    <x v="157"/>
    <x v="0"/>
    <m/>
    <x v="0"/>
    <m/>
    <m/>
    <m/>
    <m/>
    <m/>
    <m/>
    <m/>
    <m/>
    <m/>
  </r>
  <r>
    <x v="195"/>
    <x v="0"/>
    <x v="158"/>
    <x v="0"/>
    <m/>
    <x v="0"/>
    <m/>
    <m/>
    <m/>
    <m/>
    <m/>
    <m/>
    <m/>
    <m/>
    <m/>
  </r>
  <r>
    <x v="196"/>
    <x v="0"/>
    <x v="159"/>
    <x v="0"/>
    <m/>
    <x v="0"/>
    <m/>
    <m/>
    <m/>
    <m/>
    <m/>
    <m/>
    <m/>
    <m/>
    <m/>
  </r>
  <r>
    <x v="197"/>
    <x v="0"/>
    <x v="160"/>
    <x v="0"/>
    <m/>
    <x v="0"/>
    <m/>
    <m/>
    <m/>
    <m/>
    <m/>
    <m/>
    <m/>
    <m/>
    <m/>
  </r>
  <r>
    <x v="198"/>
    <x v="0"/>
    <x v="84"/>
    <x v="0"/>
    <m/>
    <x v="0"/>
    <m/>
    <m/>
    <m/>
    <m/>
    <m/>
    <m/>
    <m/>
    <m/>
    <m/>
  </r>
  <r>
    <x v="199"/>
    <x v="0"/>
    <x v="161"/>
    <x v="0"/>
    <m/>
    <x v="0"/>
    <m/>
    <m/>
    <m/>
    <m/>
    <m/>
    <m/>
    <m/>
    <m/>
    <m/>
  </r>
  <r>
    <x v="200"/>
    <x v="0"/>
    <x v="162"/>
    <x v="0"/>
    <m/>
    <x v="0"/>
    <m/>
    <m/>
    <m/>
    <m/>
    <m/>
    <m/>
    <m/>
    <m/>
    <m/>
  </r>
  <r>
    <x v="201"/>
    <x v="0"/>
    <x v="163"/>
    <x v="0"/>
    <m/>
    <x v="0"/>
    <m/>
    <m/>
    <m/>
    <m/>
    <m/>
    <m/>
    <m/>
    <m/>
    <m/>
  </r>
  <r>
    <x v="202"/>
    <x v="0"/>
    <x v="164"/>
    <x v="0"/>
    <m/>
    <x v="0"/>
    <m/>
    <m/>
    <m/>
    <m/>
    <m/>
    <m/>
    <m/>
    <m/>
    <m/>
  </r>
  <r>
    <x v="203"/>
    <x v="0"/>
    <x v="87"/>
    <x v="0"/>
    <m/>
    <x v="0"/>
    <m/>
    <m/>
    <m/>
    <m/>
    <m/>
    <m/>
    <m/>
    <m/>
    <m/>
  </r>
  <r>
    <x v="204"/>
    <x v="0"/>
    <x v="165"/>
    <x v="0"/>
    <m/>
    <x v="0"/>
    <m/>
    <m/>
    <m/>
    <m/>
    <m/>
    <m/>
    <m/>
    <m/>
    <m/>
  </r>
  <r>
    <x v="205"/>
    <x v="0"/>
    <x v="166"/>
    <x v="0"/>
    <m/>
    <x v="0"/>
    <m/>
    <m/>
    <m/>
    <m/>
    <m/>
    <m/>
    <m/>
    <m/>
    <m/>
  </r>
  <r>
    <x v="206"/>
    <x v="0"/>
    <x v="167"/>
    <x v="0"/>
    <m/>
    <x v="0"/>
    <m/>
    <m/>
    <m/>
    <m/>
    <m/>
    <m/>
    <m/>
    <m/>
    <m/>
  </r>
  <r>
    <x v="207"/>
    <x v="0"/>
    <x v="168"/>
    <x v="0"/>
    <m/>
    <x v="0"/>
    <m/>
    <m/>
    <m/>
    <m/>
    <m/>
    <m/>
    <m/>
    <m/>
    <m/>
  </r>
  <r>
    <x v="208"/>
    <x v="0"/>
    <x v="88"/>
    <x v="0"/>
    <m/>
    <x v="0"/>
    <m/>
    <m/>
    <m/>
    <m/>
    <m/>
    <m/>
    <m/>
    <m/>
    <m/>
  </r>
  <r>
    <x v="209"/>
    <x v="0"/>
    <x v="169"/>
    <x v="0"/>
    <m/>
    <x v="0"/>
    <m/>
    <m/>
    <m/>
    <m/>
    <m/>
    <m/>
    <m/>
    <m/>
    <m/>
  </r>
  <r>
    <x v="210"/>
    <x v="0"/>
    <x v="170"/>
    <x v="0"/>
    <m/>
    <x v="0"/>
    <m/>
    <m/>
    <m/>
    <m/>
    <m/>
    <m/>
    <m/>
    <m/>
    <m/>
  </r>
  <r>
    <x v="211"/>
    <x v="0"/>
    <x v="171"/>
    <x v="0"/>
    <m/>
    <x v="0"/>
    <m/>
    <m/>
    <m/>
    <m/>
    <m/>
    <m/>
    <m/>
    <m/>
    <m/>
  </r>
  <r>
    <x v="212"/>
    <x v="0"/>
    <x v="172"/>
    <x v="0"/>
    <m/>
    <x v="0"/>
    <m/>
    <m/>
    <m/>
    <m/>
    <m/>
    <m/>
    <m/>
    <m/>
    <m/>
  </r>
  <r>
    <x v="213"/>
    <x v="0"/>
    <x v="173"/>
    <x v="0"/>
    <m/>
    <x v="0"/>
    <m/>
    <m/>
    <m/>
    <m/>
    <m/>
    <m/>
    <m/>
    <m/>
    <m/>
  </r>
  <r>
    <x v="214"/>
    <x v="0"/>
    <x v="174"/>
    <x v="0"/>
    <m/>
    <x v="0"/>
    <m/>
    <m/>
    <m/>
    <m/>
    <m/>
    <m/>
    <m/>
    <m/>
    <m/>
  </r>
  <r>
    <x v="215"/>
    <x v="0"/>
    <x v="175"/>
    <x v="0"/>
    <m/>
    <x v="0"/>
    <m/>
    <m/>
    <m/>
    <m/>
    <m/>
    <m/>
    <m/>
    <m/>
    <m/>
  </r>
  <r>
    <x v="216"/>
    <x v="0"/>
    <x v="176"/>
    <x v="0"/>
    <m/>
    <x v="0"/>
    <m/>
    <m/>
    <m/>
    <m/>
    <m/>
    <m/>
    <m/>
    <m/>
    <m/>
  </r>
  <r>
    <x v="217"/>
    <x v="0"/>
    <x v="177"/>
    <x v="0"/>
    <m/>
    <x v="0"/>
    <m/>
    <m/>
    <m/>
    <m/>
    <m/>
    <m/>
    <m/>
    <m/>
    <m/>
  </r>
  <r>
    <x v="218"/>
    <x v="0"/>
    <x v="178"/>
    <x v="0"/>
    <m/>
    <x v="0"/>
    <m/>
    <m/>
    <m/>
    <m/>
    <m/>
    <m/>
    <m/>
    <m/>
    <m/>
  </r>
  <r>
    <x v="219"/>
    <x v="0"/>
    <x v="179"/>
    <x v="0"/>
    <m/>
    <x v="0"/>
    <m/>
    <m/>
    <m/>
    <m/>
    <m/>
    <m/>
    <m/>
    <m/>
    <m/>
  </r>
  <r>
    <x v="220"/>
    <x v="0"/>
    <x v="180"/>
    <x v="0"/>
    <m/>
    <x v="0"/>
    <m/>
    <m/>
    <m/>
    <m/>
    <m/>
    <m/>
    <m/>
    <m/>
    <m/>
  </r>
  <r>
    <x v="221"/>
    <x v="0"/>
    <x v="181"/>
    <x v="0"/>
    <m/>
    <x v="0"/>
    <m/>
    <m/>
    <m/>
    <m/>
    <m/>
    <m/>
    <m/>
    <m/>
    <m/>
  </r>
  <r>
    <x v="222"/>
    <x v="0"/>
    <x v="182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223"/>
    <x v="0"/>
    <x v="183"/>
    <x v="0"/>
    <m/>
    <x v="0"/>
    <m/>
    <m/>
    <m/>
    <m/>
    <m/>
    <m/>
    <m/>
    <m/>
    <m/>
  </r>
  <r>
    <x v="224"/>
    <x v="0"/>
    <x v="184"/>
    <x v="0"/>
    <m/>
    <x v="0"/>
    <m/>
    <m/>
    <m/>
    <m/>
    <m/>
    <m/>
    <m/>
    <m/>
    <m/>
  </r>
  <r>
    <x v="225"/>
    <x v="0"/>
    <x v="185"/>
    <x v="0"/>
    <m/>
    <x v="0"/>
    <m/>
    <m/>
    <m/>
    <m/>
    <m/>
    <m/>
    <m/>
    <m/>
    <m/>
  </r>
  <r>
    <x v="226"/>
    <x v="0"/>
    <x v="186"/>
    <x v="0"/>
    <m/>
    <x v="0"/>
    <m/>
    <m/>
    <m/>
    <m/>
    <m/>
    <m/>
    <m/>
    <m/>
    <m/>
  </r>
  <r>
    <x v="227"/>
    <x v="0"/>
    <x v="187"/>
    <x v="0"/>
    <m/>
    <x v="0"/>
    <m/>
    <m/>
    <m/>
    <m/>
    <m/>
    <m/>
    <m/>
    <m/>
    <m/>
  </r>
  <r>
    <x v="228"/>
    <x v="0"/>
    <x v="188"/>
    <x v="0"/>
    <m/>
    <x v="0"/>
    <m/>
    <m/>
    <m/>
    <m/>
    <m/>
    <m/>
    <m/>
    <m/>
    <m/>
  </r>
  <r>
    <x v="229"/>
    <x v="0"/>
    <x v="189"/>
    <x v="0"/>
    <m/>
    <x v="0"/>
    <m/>
    <m/>
    <m/>
    <m/>
    <m/>
    <m/>
    <m/>
    <m/>
    <m/>
  </r>
  <r>
    <x v="230"/>
    <x v="0"/>
    <x v="190"/>
    <x v="0"/>
    <m/>
    <x v="0"/>
    <m/>
    <m/>
    <m/>
    <m/>
    <m/>
    <m/>
    <m/>
    <m/>
    <m/>
  </r>
  <r>
    <x v="231"/>
    <x v="0"/>
    <x v="191"/>
    <x v="0"/>
    <m/>
    <x v="0"/>
    <m/>
    <m/>
    <m/>
    <m/>
    <m/>
    <m/>
    <m/>
    <m/>
    <m/>
  </r>
  <r>
    <x v="232"/>
    <x v="0"/>
    <x v="192"/>
    <x v="0"/>
    <m/>
    <x v="0"/>
    <m/>
    <m/>
    <m/>
    <m/>
    <m/>
    <m/>
    <m/>
    <m/>
    <m/>
  </r>
  <r>
    <x v="233"/>
    <x v="0"/>
    <x v="193"/>
    <x v="0"/>
    <m/>
    <x v="0"/>
    <m/>
    <m/>
    <m/>
    <m/>
    <m/>
    <m/>
    <m/>
    <m/>
    <m/>
  </r>
  <r>
    <x v="234"/>
    <x v="0"/>
    <x v="194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235"/>
    <x v="0"/>
    <x v="195"/>
    <x v="0"/>
    <m/>
    <x v="0"/>
    <m/>
    <m/>
    <m/>
    <m/>
    <m/>
    <m/>
    <m/>
    <m/>
    <m/>
  </r>
  <r>
    <x v="236"/>
    <x v="0"/>
    <x v="196"/>
    <x v="0"/>
    <m/>
    <x v="0"/>
    <m/>
    <m/>
    <m/>
    <m/>
    <m/>
    <m/>
    <m/>
    <m/>
    <m/>
  </r>
  <r>
    <x v="237"/>
    <x v="0"/>
    <x v="197"/>
    <x v="0"/>
    <m/>
    <x v="0"/>
    <m/>
    <m/>
    <m/>
    <m/>
    <m/>
    <m/>
    <m/>
    <m/>
    <m/>
  </r>
  <r>
    <x v="238"/>
    <x v="0"/>
    <x v="198"/>
    <x v="0"/>
    <m/>
    <x v="0"/>
    <m/>
    <m/>
    <m/>
    <m/>
    <m/>
    <m/>
    <m/>
    <m/>
    <m/>
  </r>
  <r>
    <x v="239"/>
    <x v="0"/>
    <x v="199"/>
    <x v="0"/>
    <m/>
    <x v="0"/>
    <m/>
    <m/>
    <m/>
    <m/>
    <m/>
    <m/>
    <m/>
    <m/>
    <m/>
  </r>
  <r>
    <x v="240"/>
    <x v="0"/>
    <x v="200"/>
    <x v="0"/>
    <m/>
    <x v="0"/>
    <m/>
    <m/>
    <m/>
    <m/>
    <m/>
    <m/>
    <m/>
    <m/>
    <m/>
  </r>
  <r>
    <x v="241"/>
    <x v="0"/>
    <x v="201"/>
    <x v="0"/>
    <m/>
    <x v="0"/>
    <m/>
    <m/>
    <m/>
    <m/>
    <m/>
    <m/>
    <m/>
    <m/>
    <m/>
  </r>
  <r>
    <x v="242"/>
    <x v="0"/>
    <x v="202"/>
    <x v="0"/>
    <m/>
    <x v="0"/>
    <m/>
    <m/>
    <m/>
    <m/>
    <m/>
    <m/>
    <m/>
    <m/>
    <m/>
  </r>
  <r>
    <x v="243"/>
    <x v="0"/>
    <x v="203"/>
    <x v="0"/>
    <m/>
    <x v="0"/>
    <m/>
    <m/>
    <m/>
    <m/>
    <m/>
    <m/>
    <m/>
    <m/>
    <m/>
  </r>
  <r>
    <x v="244"/>
    <x v="0"/>
    <x v="204"/>
    <x v="0"/>
    <m/>
    <x v="0"/>
    <m/>
    <m/>
    <m/>
    <m/>
    <m/>
    <m/>
    <m/>
    <m/>
    <m/>
  </r>
  <r>
    <x v="245"/>
    <x v="0"/>
    <x v="205"/>
    <x v="0"/>
    <m/>
    <x v="0"/>
    <m/>
    <m/>
    <m/>
    <m/>
    <m/>
    <m/>
    <m/>
    <m/>
    <m/>
  </r>
  <r>
    <x v="246"/>
    <x v="0"/>
    <x v="206"/>
    <x v="0"/>
    <m/>
    <x v="0"/>
    <m/>
    <m/>
    <m/>
    <m/>
    <m/>
    <m/>
    <m/>
    <m/>
    <m/>
  </r>
  <r>
    <x v="247"/>
    <x v="0"/>
    <x v="207"/>
    <x v="0"/>
    <m/>
    <x v="0"/>
    <m/>
    <m/>
    <m/>
    <m/>
    <m/>
    <m/>
    <m/>
    <m/>
    <m/>
  </r>
  <r>
    <x v="248"/>
    <x v="0"/>
    <x v="208"/>
    <x v="0"/>
    <m/>
    <x v="0"/>
    <m/>
    <m/>
    <m/>
    <m/>
    <m/>
    <m/>
    <m/>
    <m/>
    <m/>
  </r>
  <r>
    <x v="249"/>
    <x v="0"/>
    <x v="209"/>
    <x v="0"/>
    <m/>
    <x v="0"/>
    <m/>
    <m/>
    <m/>
    <m/>
    <m/>
    <m/>
    <m/>
    <m/>
    <m/>
  </r>
  <r>
    <x v="250"/>
    <x v="0"/>
    <x v="196"/>
    <x v="0"/>
    <m/>
    <x v="0"/>
    <m/>
    <m/>
    <m/>
    <m/>
    <m/>
    <m/>
    <m/>
    <m/>
    <m/>
  </r>
  <r>
    <x v="251"/>
    <x v="0"/>
    <x v="210"/>
    <x v="0"/>
    <m/>
    <x v="0"/>
    <m/>
    <m/>
    <m/>
    <m/>
    <m/>
    <m/>
    <m/>
    <m/>
    <m/>
  </r>
  <r>
    <x v="252"/>
    <x v="0"/>
    <x v="211"/>
    <x v="0"/>
    <m/>
    <x v="0"/>
    <m/>
    <m/>
    <m/>
    <m/>
    <m/>
    <m/>
    <m/>
    <m/>
    <m/>
  </r>
  <r>
    <x v="253"/>
    <x v="0"/>
    <x v="212"/>
    <x v="0"/>
    <m/>
    <x v="0"/>
    <m/>
    <m/>
    <m/>
    <m/>
    <m/>
    <m/>
    <m/>
    <m/>
    <m/>
  </r>
  <r>
    <x v="254"/>
    <x v="0"/>
    <x v="213"/>
    <x v="0"/>
    <m/>
    <x v="0"/>
    <m/>
    <m/>
    <m/>
    <m/>
    <m/>
    <m/>
    <m/>
    <m/>
    <m/>
  </r>
  <r>
    <x v="255"/>
    <x v="0"/>
    <x v="214"/>
    <x v="0"/>
    <m/>
    <x v="0"/>
    <m/>
    <m/>
    <m/>
    <m/>
    <m/>
    <m/>
    <m/>
    <m/>
    <m/>
  </r>
  <r>
    <x v="256"/>
    <x v="0"/>
    <x v="215"/>
    <x v="0"/>
    <m/>
    <x v="0"/>
    <m/>
    <m/>
    <m/>
    <m/>
    <m/>
    <m/>
    <m/>
    <m/>
    <m/>
  </r>
  <r>
    <x v="257"/>
    <x v="0"/>
    <x v="216"/>
    <x v="0"/>
    <m/>
    <x v="0"/>
    <m/>
    <m/>
    <m/>
    <m/>
    <m/>
    <m/>
    <m/>
    <m/>
    <m/>
  </r>
  <r>
    <x v="258"/>
    <x v="0"/>
    <x v="217"/>
    <x v="0"/>
    <m/>
    <x v="0"/>
    <m/>
    <m/>
    <m/>
    <m/>
    <m/>
    <m/>
    <m/>
    <m/>
    <m/>
  </r>
  <r>
    <x v="259"/>
    <x v="0"/>
    <x v="218"/>
    <x v="0"/>
    <m/>
    <x v="0"/>
    <m/>
    <m/>
    <m/>
    <m/>
    <m/>
    <m/>
    <m/>
    <m/>
    <m/>
  </r>
  <r>
    <x v="260"/>
    <x v="0"/>
    <x v="219"/>
    <x v="0"/>
    <m/>
    <x v="0"/>
    <m/>
    <m/>
    <m/>
    <m/>
    <m/>
    <m/>
    <m/>
    <m/>
    <m/>
  </r>
  <r>
    <x v="261"/>
    <x v="0"/>
    <x v="220"/>
    <x v="0"/>
    <m/>
    <x v="0"/>
    <m/>
    <m/>
    <m/>
    <m/>
    <m/>
    <m/>
    <m/>
    <m/>
    <m/>
  </r>
  <r>
    <x v="262"/>
    <x v="0"/>
    <x v="203"/>
    <x v="0"/>
    <m/>
    <x v="0"/>
    <m/>
    <m/>
    <m/>
    <m/>
    <m/>
    <m/>
    <m/>
    <m/>
    <m/>
  </r>
  <r>
    <x v="263"/>
    <x v="0"/>
    <x v="204"/>
    <x v="0"/>
    <m/>
    <x v="0"/>
    <m/>
    <m/>
    <m/>
    <m/>
    <m/>
    <m/>
    <m/>
    <m/>
    <m/>
  </r>
  <r>
    <x v="264"/>
    <x v="0"/>
    <x v="205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  <r>
    <x v="0"/>
    <x v="0"/>
    <x v="0"/>
    <x v="0"/>
    <m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0">
  <r>
    <m/>
    <m/>
    <m/>
    <x v="0"/>
    <m/>
    <x v="0"/>
    <m/>
    <m/>
    <m/>
    <m/>
    <m/>
    <m/>
    <m/>
    <m/>
    <x v="0"/>
    <m/>
    <m/>
  </r>
  <r>
    <n v="1.1000000000000001"/>
    <m/>
    <s v="プロジェクト計画書"/>
    <x v="0"/>
    <m/>
    <x v="0"/>
    <m/>
    <m/>
    <m/>
    <m/>
    <m/>
    <m/>
    <m/>
    <m/>
    <x v="0"/>
    <m/>
    <m/>
  </r>
  <r>
    <s v="1.1.1"/>
    <m/>
    <s v="プロジェクト計画書作成"/>
    <x v="1"/>
    <d v="2017-04-03T00:00:00"/>
    <x v="1"/>
    <m/>
    <d v="2017-04-13T00:00:00"/>
    <d v="2017-04-03T00:00:00"/>
    <m/>
    <m/>
    <s v="On-going"/>
    <n v="0.2"/>
    <m/>
    <x v="0"/>
    <m/>
    <m/>
  </r>
  <r>
    <s v="1.1.2"/>
    <m/>
    <s v="プロジェクト計画書セルフチェック＆修正"/>
    <x v="1"/>
    <d v="2017-04-10T00:00:00"/>
    <x v="2"/>
    <m/>
    <d v="2017-04-13T00:00:00"/>
    <m/>
    <m/>
    <m/>
    <m/>
    <m/>
    <m/>
    <x v="0"/>
    <m/>
    <m/>
  </r>
  <r>
    <n v="1.2"/>
    <m/>
    <s v="工程定義"/>
    <x v="0"/>
    <m/>
    <x v="0"/>
    <m/>
    <m/>
    <m/>
    <m/>
    <m/>
    <m/>
    <m/>
    <m/>
    <x v="0"/>
    <m/>
    <m/>
  </r>
  <r>
    <s v="1.2.1"/>
    <m/>
    <s v="工程定義作成"/>
    <x v="1"/>
    <d v="2017-04-03T00:00:00"/>
    <x v="3"/>
    <m/>
    <d v="2017-04-13T00:00:00"/>
    <d v="2017-04-03T00:00:00"/>
    <m/>
    <m/>
    <s v="On-going"/>
    <n v="0.5"/>
    <m/>
    <x v="0"/>
    <m/>
    <m/>
  </r>
  <r>
    <s v="1.2.2"/>
    <m/>
    <s v="工程定義セルフチェック＆修正"/>
    <x v="1"/>
    <d v="2017-04-04T00:00:00"/>
    <x v="1"/>
    <m/>
    <d v="2017-04-13T00:00:00"/>
    <m/>
    <m/>
    <m/>
    <m/>
    <m/>
    <m/>
    <x v="0"/>
    <m/>
    <m/>
  </r>
  <r>
    <n v="1.3"/>
    <m/>
    <s v="タスクフロー"/>
    <x v="0"/>
    <m/>
    <x v="0"/>
    <m/>
    <m/>
    <m/>
    <m/>
    <m/>
    <m/>
    <m/>
    <m/>
    <x v="0"/>
    <m/>
    <m/>
  </r>
  <r>
    <s v="1.3.1"/>
    <m/>
    <s v="タスクフロー作成(ED)"/>
    <x v="2"/>
    <d v="2017-03-30T00:00:00"/>
    <x v="3"/>
    <m/>
    <m/>
    <d v="2017-03-30T00:00:00"/>
    <d v="2017-04-03T00:00:00"/>
    <m/>
    <s v="Closed"/>
    <n v="1"/>
    <m/>
    <x v="0"/>
    <m/>
    <m/>
  </r>
  <r>
    <s v="1.3.2"/>
    <m/>
    <s v="タスクフロー作成(ED)Rv＆修正"/>
    <x v="1"/>
    <d v="2017-04-05T00:00:00"/>
    <x v="1"/>
    <m/>
    <d v="2017-04-11T00:00:00"/>
    <d v="2017-04-12T00:00:00"/>
    <d v="2017-04-12T00:00:00"/>
    <m/>
    <s v="Closed"/>
    <n v="1"/>
    <m/>
    <x v="0"/>
    <m/>
    <m/>
  </r>
  <r>
    <s v="1.3.3"/>
    <m/>
    <s v="タスクフロー作成(MUT)"/>
    <x v="2"/>
    <d v="2017-03-30T00:00:00"/>
    <x v="3"/>
    <m/>
    <m/>
    <d v="2017-04-03T00:00:00"/>
    <d v="2017-04-03T00:00:00"/>
    <m/>
    <s v="Closed"/>
    <n v="1"/>
    <m/>
    <x v="0"/>
    <m/>
    <m/>
  </r>
  <r>
    <s v="1.3.4"/>
    <m/>
    <s v="タスクフロー作成(MUT)Rv＆修正"/>
    <x v="1"/>
    <d v="2017-04-05T00:00:00"/>
    <x v="1"/>
    <m/>
    <d v="2017-04-11T00:00:00"/>
    <d v="2017-04-12T00:00:00"/>
    <d v="2017-04-12T00:00:00"/>
    <m/>
    <s v="Closed"/>
    <n v="1"/>
    <m/>
    <x v="0"/>
    <m/>
    <m/>
  </r>
  <r>
    <s v="1.3.5"/>
    <m/>
    <s v="タスクフロー作成(IT)"/>
    <x v="1"/>
    <d v="2017-04-11T00:00:00"/>
    <x v="4"/>
    <m/>
    <m/>
    <m/>
    <d v="2017-04-07T00:00:00"/>
    <m/>
    <s v="Closed"/>
    <n v="1"/>
    <m/>
    <x v="0"/>
    <m/>
    <m/>
  </r>
  <r>
    <s v="1.3.6"/>
    <m/>
    <s v="タスクフロー作成(ST)"/>
    <x v="1"/>
    <d v="2017-04-11T00:00:00"/>
    <x v="4"/>
    <m/>
    <d v="2017-04-28T00:00:00"/>
    <m/>
    <m/>
    <m/>
    <m/>
    <m/>
    <m/>
    <x v="0"/>
    <m/>
    <m/>
  </r>
  <r>
    <s v="1.3.7"/>
    <m/>
    <s v="タスクフローRv＆修正"/>
    <x v="1"/>
    <d v="2017-04-05T00:00:00"/>
    <x v="1"/>
    <m/>
    <m/>
    <m/>
    <m/>
    <m/>
    <m/>
    <m/>
    <m/>
    <x v="0"/>
    <m/>
    <m/>
  </r>
  <r>
    <n v="1.4"/>
    <m/>
    <s v="成果物一覧"/>
    <x v="0"/>
    <m/>
    <x v="0"/>
    <m/>
    <m/>
    <m/>
    <m/>
    <m/>
    <m/>
    <m/>
    <m/>
    <x v="0"/>
    <m/>
    <m/>
  </r>
  <r>
    <s v="1.4.1"/>
    <m/>
    <s v="成果物一覧作成"/>
    <x v="1"/>
    <d v="2017-03-30T00:00:00"/>
    <x v="5"/>
    <m/>
    <m/>
    <m/>
    <d v="2017-04-03T00:00:00"/>
    <m/>
    <s v="Closed"/>
    <n v="1"/>
    <m/>
    <x v="0"/>
    <m/>
    <m/>
  </r>
  <r>
    <s v="1.4.2"/>
    <m/>
    <s v="成果物一覧周知"/>
    <x v="1"/>
    <d v="2017-04-04T00:00:00"/>
    <x v="3"/>
    <m/>
    <d v="2017-04-11T00:00:00"/>
    <m/>
    <m/>
    <m/>
    <m/>
    <m/>
    <m/>
    <x v="0"/>
    <m/>
    <m/>
  </r>
  <r>
    <s v="1.4.3"/>
    <m/>
    <s v="成果物一覧Fix"/>
    <x v="1"/>
    <d v="2017-04-14T00:00:00"/>
    <x v="4"/>
    <m/>
    <m/>
    <m/>
    <m/>
    <m/>
    <m/>
    <m/>
    <m/>
    <x v="0"/>
    <m/>
    <m/>
  </r>
  <r>
    <n v="1.5"/>
    <m/>
    <s v="見積（WMS/CMN）"/>
    <x v="0"/>
    <m/>
    <x v="0"/>
    <m/>
    <m/>
    <m/>
    <m/>
    <m/>
    <m/>
    <m/>
    <m/>
    <x v="0"/>
    <m/>
    <m/>
  </r>
  <r>
    <s v="1.5.1"/>
    <m/>
    <s v="見積（WMS/CMN）作成"/>
    <x v="1"/>
    <d v="2017-04-11T00:00:00"/>
    <x v="6"/>
    <m/>
    <m/>
    <m/>
    <d v="2017-04-10T00:00:00"/>
    <m/>
    <s v="Closed"/>
    <n v="1"/>
    <m/>
    <x v="0"/>
    <m/>
    <m/>
  </r>
  <r>
    <s v="1.5.2"/>
    <m/>
    <s v="見積（WMS/CMN）Rv"/>
    <x v="1"/>
    <d v="2017-04-13T00:00:00"/>
    <x v="7"/>
    <m/>
    <m/>
    <m/>
    <m/>
    <m/>
    <m/>
    <m/>
    <m/>
    <x v="0"/>
    <m/>
    <m/>
  </r>
  <r>
    <s v="1.5.3"/>
    <m/>
    <s v="見積（WMS/CMN）Rv反映"/>
    <x v="1"/>
    <d v="2017-04-13T00:00:00"/>
    <x v="7"/>
    <m/>
    <m/>
    <m/>
    <m/>
    <m/>
    <m/>
    <m/>
    <m/>
    <x v="0"/>
    <m/>
    <m/>
  </r>
  <r>
    <s v="1.5.4"/>
    <m/>
    <s v="見積（WMS/CMN）承認"/>
    <x v="1"/>
    <d v="2017-04-14T00:00:00"/>
    <x v="4"/>
    <m/>
    <m/>
    <m/>
    <m/>
    <m/>
    <m/>
    <m/>
    <m/>
    <x v="0"/>
    <m/>
    <m/>
  </r>
  <r>
    <n v="1.6"/>
    <m/>
    <s v="L0/L1-Schedule"/>
    <x v="0"/>
    <m/>
    <x v="0"/>
    <m/>
    <m/>
    <m/>
    <m/>
    <m/>
    <m/>
    <m/>
    <m/>
    <x v="0"/>
    <m/>
    <m/>
  </r>
  <r>
    <s v="1.6.1"/>
    <m/>
    <s v="L0/L1-Schedule作成"/>
    <x v="1"/>
    <d v="2017-04-06T00:00:00"/>
    <x v="8"/>
    <m/>
    <m/>
    <d v="2017-04-06T00:00:00"/>
    <d v="2017-04-07T00:00:00"/>
    <m/>
    <s v="Closed"/>
    <n v="1"/>
    <m/>
    <x v="0"/>
    <m/>
    <m/>
  </r>
  <r>
    <s v="1.6.2"/>
    <m/>
    <s v="L0/L1-Scheduleセルフチェック＆修正"/>
    <x v="1"/>
    <d v="2017-04-07T00:00:00"/>
    <x v="7"/>
    <m/>
    <m/>
    <m/>
    <m/>
    <m/>
    <m/>
    <m/>
    <m/>
    <x v="0"/>
    <m/>
    <m/>
  </r>
  <r>
    <s v="1.6.3"/>
    <m/>
    <s v="L0/L1-Schedule承認"/>
    <x v="3"/>
    <d v="2017-04-14T00:00:00"/>
    <x v="4"/>
    <m/>
    <m/>
    <m/>
    <m/>
    <m/>
    <m/>
    <m/>
    <m/>
    <x v="0"/>
    <m/>
    <m/>
  </r>
  <r>
    <s v="1.7"/>
    <m/>
    <s v="L2-Schedule（WMS/CMN）"/>
    <x v="0"/>
    <m/>
    <x v="0"/>
    <m/>
    <m/>
    <m/>
    <m/>
    <m/>
    <m/>
    <m/>
    <m/>
    <x v="0"/>
    <m/>
    <m/>
  </r>
  <r>
    <s v="1.7.1"/>
    <m/>
    <s v="L2-Schedule（WMS/CMN）作成"/>
    <x v="2"/>
    <d v="2017-04-11T00:00:00"/>
    <x v="4"/>
    <m/>
    <m/>
    <d v="2017-03-28T00:00:00"/>
    <d v="2017-03-29T00:00:00"/>
    <m/>
    <s v="Closed"/>
    <n v="1"/>
    <m/>
    <x v="0"/>
    <m/>
    <m/>
  </r>
  <r>
    <s v="1.7.2"/>
    <m/>
    <s v="L2-Schedule（WMS/CMN）Rv"/>
    <x v="1"/>
    <m/>
    <x v="0"/>
    <m/>
    <m/>
    <d v="2017-03-29T00:00:00"/>
    <d v="2017-03-29T00:00:00"/>
    <m/>
    <s v="Closed"/>
    <n v="1"/>
    <m/>
    <x v="0"/>
    <m/>
    <m/>
  </r>
  <r>
    <s v="1.7.3"/>
    <m/>
    <s v="L2-Schedule（WMS/CMN）Rv反映"/>
    <x v="2"/>
    <m/>
    <x v="0"/>
    <m/>
    <m/>
    <d v="2017-03-29T00:00:00"/>
    <d v="2017-03-29T00:00:00"/>
    <m/>
    <s v="Closed"/>
    <n v="1"/>
    <m/>
    <x v="0"/>
    <m/>
    <m/>
  </r>
  <r>
    <s v="1.7.4"/>
    <m/>
    <s v="L2-Schedule（WMS/CMN）承認"/>
    <x v="1"/>
    <m/>
    <x v="0"/>
    <m/>
    <m/>
    <d v="2017-03-29T00:00:00"/>
    <d v="2017-03-29T00:00:00"/>
    <m/>
    <s v="Closed"/>
    <n v="1"/>
    <m/>
    <x v="0"/>
    <m/>
    <m/>
  </r>
  <r>
    <s v="1.8"/>
    <m/>
    <s v="L3-Schedule（WMS/CMN）"/>
    <x v="0"/>
    <m/>
    <x v="0"/>
    <m/>
    <m/>
    <m/>
    <m/>
    <m/>
    <m/>
    <m/>
    <m/>
    <x v="0"/>
    <m/>
    <m/>
  </r>
  <r>
    <s v="1.8.1"/>
    <m/>
    <s v="L3-Schedule（WMS/CMN）作成"/>
    <x v="2"/>
    <d v="2017-04-11T00:00:00"/>
    <x v="0"/>
    <m/>
    <m/>
    <d v="2017-04-12T00:00:00"/>
    <m/>
    <m/>
    <s v="On-going"/>
    <n v="0.7"/>
    <m/>
    <x v="0"/>
    <m/>
    <m/>
  </r>
  <r>
    <s v="1.8.2"/>
    <m/>
    <s v="L3-Schedule（WMS/CMN）Rv"/>
    <x v="1"/>
    <m/>
    <x v="0"/>
    <m/>
    <m/>
    <m/>
    <m/>
    <m/>
    <m/>
    <m/>
    <m/>
    <x v="0"/>
    <m/>
    <m/>
  </r>
  <r>
    <s v="1.8.3"/>
    <m/>
    <s v="L3-Schedule（WMS/CMN）Rv反映"/>
    <x v="2"/>
    <m/>
    <x v="0"/>
    <m/>
    <m/>
    <m/>
    <m/>
    <m/>
    <m/>
    <m/>
    <m/>
    <x v="0"/>
    <m/>
    <m/>
  </r>
  <r>
    <s v="1.8.4"/>
    <m/>
    <s v="L3-Schedule（WMS/CMN）承認"/>
    <x v="1"/>
    <m/>
    <x v="0"/>
    <m/>
    <m/>
    <m/>
    <m/>
    <m/>
    <m/>
    <m/>
    <m/>
    <x v="0"/>
    <m/>
    <m/>
  </r>
  <r>
    <s v="1.9"/>
    <m/>
    <s v="Assesement For restart"/>
    <x v="0"/>
    <m/>
    <x v="0"/>
    <m/>
    <m/>
    <m/>
    <m/>
    <m/>
    <m/>
    <m/>
    <m/>
    <x v="0"/>
    <m/>
    <m/>
  </r>
  <r>
    <s v="1.9.1"/>
    <m/>
    <s v="ビジネス概要"/>
    <x v="0"/>
    <m/>
    <x v="0"/>
    <m/>
    <m/>
    <m/>
    <m/>
    <m/>
    <m/>
    <m/>
    <m/>
    <x v="0"/>
    <m/>
    <m/>
  </r>
  <r>
    <s v="1.9.1.1"/>
    <m/>
    <s v="ドキュメント記載内容確認（Tosaka）"/>
    <x v="4"/>
    <m/>
    <x v="0"/>
    <m/>
    <m/>
    <m/>
    <m/>
    <m/>
    <m/>
    <m/>
    <m/>
    <x v="1"/>
    <m/>
    <m/>
  </r>
  <r>
    <s v="1.9.1.2"/>
    <m/>
    <s v="RV（Nieda★/Tosaka）"/>
    <x v="5"/>
    <m/>
    <x v="0"/>
    <m/>
    <m/>
    <m/>
    <m/>
    <m/>
    <m/>
    <m/>
    <m/>
    <x v="1"/>
    <m/>
    <m/>
  </r>
  <r>
    <s v="1.9.1.3"/>
    <m/>
    <s v="PM-Approval（Takeda★/Tosaka）"/>
    <x v="1"/>
    <m/>
    <x v="0"/>
    <m/>
    <m/>
    <m/>
    <m/>
    <m/>
    <m/>
    <m/>
    <m/>
    <x v="1"/>
    <m/>
    <m/>
  </r>
  <r>
    <s v="1.9.2"/>
    <m/>
    <s v="ビジネスルール定義書（WMS/CMN）"/>
    <x v="0"/>
    <m/>
    <x v="0"/>
    <m/>
    <m/>
    <m/>
    <m/>
    <m/>
    <m/>
    <m/>
    <m/>
    <x v="0"/>
    <m/>
    <m/>
  </r>
  <r>
    <s v="1.9.2.1"/>
    <m/>
    <s v="ドキュメント記載内容確認（Tosaka）"/>
    <x v="4"/>
    <d v="2017-03-29T00:00:00"/>
    <x v="9"/>
    <m/>
    <m/>
    <m/>
    <m/>
    <m/>
    <m/>
    <m/>
    <m/>
    <x v="1"/>
    <m/>
    <m/>
  </r>
  <r>
    <s v="1.9.2.2"/>
    <m/>
    <s v="RV（Nieda★/Tosaka）"/>
    <x v="5"/>
    <d v="2017-03-29T00:00:00"/>
    <x v="10"/>
    <m/>
    <m/>
    <m/>
    <m/>
    <m/>
    <m/>
    <m/>
    <m/>
    <x v="1"/>
    <m/>
    <m/>
  </r>
  <r>
    <s v="1.9.2.3"/>
    <m/>
    <s v="PM-Approval（Takeda★/Tosaka）"/>
    <x v="1"/>
    <d v="2017-04-04T00:00:00"/>
    <x v="3"/>
    <m/>
    <m/>
    <m/>
    <m/>
    <m/>
    <m/>
    <m/>
    <m/>
    <x v="1"/>
    <m/>
    <m/>
  </r>
  <r>
    <s v="1.9.3"/>
    <m/>
    <s v="非機能定義書（WMS/CMN）"/>
    <x v="0"/>
    <m/>
    <x v="0"/>
    <m/>
    <m/>
    <m/>
    <m/>
    <m/>
    <m/>
    <m/>
    <m/>
    <x v="0"/>
    <m/>
    <m/>
  </r>
  <r>
    <s v="1.9.3.1"/>
    <m/>
    <s v="定義内容の指示だし（武田）"/>
    <x v="1"/>
    <d v="2017-03-29T00:00:00"/>
    <x v="11"/>
    <m/>
    <m/>
    <d v="2017-03-29T00:00:00"/>
    <d v="2017-03-29T00:00:00"/>
    <m/>
    <s v="Closed"/>
    <n v="1"/>
    <m/>
    <x v="0"/>
    <m/>
    <m/>
  </r>
  <r>
    <s v="1.9.3.2"/>
    <m/>
    <s v="記載数値の設定（Tosaka/Nieda★）"/>
    <x v="5"/>
    <d v="2017-03-31T00:00:00"/>
    <x v="12"/>
    <m/>
    <m/>
    <d v="2017-03-31T00:00:00"/>
    <d v="2017-03-31T00:00:00"/>
    <m/>
    <s v="Closed"/>
    <n v="1"/>
    <m/>
    <x v="0"/>
    <m/>
    <m/>
  </r>
  <r>
    <s v="1.9.3.3"/>
    <m/>
    <s v="資料作成（Tosaka）"/>
    <x v="1"/>
    <d v="2017-04-03T00:00:00"/>
    <x v="10"/>
    <m/>
    <m/>
    <d v="2017-04-03T00:00:00"/>
    <d v="2017-04-03T00:00:00"/>
    <m/>
    <s v="Closed"/>
    <n v="1"/>
    <m/>
    <x v="0"/>
    <m/>
    <m/>
  </r>
  <r>
    <s v="1.9.3.4"/>
    <m/>
    <s v="RV（Tosaka/Nieda★）"/>
    <x v="5"/>
    <d v="2017-04-03T00:00:00"/>
    <x v="10"/>
    <m/>
    <m/>
    <m/>
    <m/>
    <m/>
    <m/>
    <m/>
    <m/>
    <x v="0"/>
    <m/>
    <m/>
  </r>
  <r>
    <s v="1.9.3.5"/>
    <m/>
    <s v="PM-Approval（Takeda★/Tosaka）"/>
    <x v="1"/>
    <d v="2017-04-05T00:00:00"/>
    <x v="1"/>
    <m/>
    <m/>
    <m/>
    <m/>
    <m/>
    <m/>
    <m/>
    <m/>
    <x v="0"/>
    <m/>
    <m/>
  </r>
  <r>
    <s v="1.9.4"/>
    <m/>
    <s v="システム構成図/ネットワーク構成図"/>
    <x v="0"/>
    <m/>
    <x v="0"/>
    <m/>
    <m/>
    <m/>
    <m/>
    <m/>
    <m/>
    <m/>
    <m/>
    <x v="0"/>
    <m/>
    <m/>
  </r>
  <r>
    <s v="1.9.4.1"/>
    <m/>
    <s v="ドキュメント再作成（Tuyen）"/>
    <x v="6"/>
    <d v="2017-03-30T00:00:00"/>
    <x v="12"/>
    <m/>
    <m/>
    <d v="2017-04-05T00:00:00"/>
    <d v="2017-04-05T00:00:00"/>
    <m/>
    <s v="Closed"/>
    <n v="1"/>
    <m/>
    <x v="2"/>
    <m/>
    <m/>
  </r>
  <r>
    <s v="1.9.4.2"/>
    <m/>
    <s v="RV＆PM-Approval（Tuyen/Takeda★）"/>
    <x v="1"/>
    <d v="2017-04-03T00:00:00"/>
    <x v="10"/>
    <m/>
    <d v="2017-04-11T00:00:00"/>
    <d v="2017-04-11T00:00:00"/>
    <d v="2017-04-11T00:00:00"/>
    <m/>
    <s v="Closed"/>
    <n v="1"/>
    <m/>
    <x v="2"/>
    <m/>
    <m/>
  </r>
  <r>
    <s v="1.9.5"/>
    <m/>
    <s v="アクター定義書"/>
    <x v="0"/>
    <m/>
    <x v="0"/>
    <m/>
    <m/>
    <m/>
    <m/>
    <m/>
    <m/>
    <m/>
    <m/>
    <x v="0"/>
    <m/>
    <m/>
  </r>
  <r>
    <s v="1.9.5.1"/>
    <m/>
    <s v="不足分業務フローの再作成（Nieda）"/>
    <x v="5"/>
    <d v="2017-03-29T00:00:00"/>
    <x v="9"/>
    <m/>
    <m/>
    <d v="2017-03-29T00:00:00"/>
    <d v="2017-03-31T00:00:00"/>
    <m/>
    <s v="Closed"/>
    <n v="1"/>
    <m/>
    <x v="3"/>
    <m/>
    <m/>
  </r>
  <r>
    <s v="1.9.5.2"/>
    <m/>
    <s v="不足業務フローの意識あわせ（Nieda★/Tosaka/Tuyen）"/>
    <x v="5"/>
    <d v="2017-03-29T00:00:00"/>
    <x v="10"/>
    <m/>
    <m/>
    <d v="2017-03-31T00:00:00"/>
    <d v="2017-03-31T00:00:00"/>
    <m/>
    <s v="Closed"/>
    <n v="1"/>
    <m/>
    <x v="3"/>
    <m/>
    <m/>
  </r>
  <r>
    <s v="1.9.5.3"/>
    <m/>
    <s v="RV＆PM-Approval（Nieda/Tosaka/Tuyen/Takeda★）"/>
    <x v="1"/>
    <d v="2017-04-03T00:00:00"/>
    <x v="10"/>
    <m/>
    <m/>
    <d v="2017-04-03T00:00:00"/>
    <d v="2017-04-03T00:00:00"/>
    <m/>
    <s v="Closed"/>
    <n v="1"/>
    <m/>
    <x v="3"/>
    <m/>
    <m/>
  </r>
  <r>
    <s v="1.9.6"/>
    <m/>
    <s v="業務フロー（WMS/CMN）"/>
    <x v="0"/>
    <m/>
    <x v="0"/>
    <m/>
    <m/>
    <m/>
    <m/>
    <m/>
    <m/>
    <m/>
    <m/>
    <x v="0"/>
    <m/>
    <m/>
  </r>
  <r>
    <s v="1.9.6.1"/>
    <m/>
    <s v="不足分業務フローの再作成（Nieda）"/>
    <x v="5"/>
    <d v="2017-03-29T00:00:00"/>
    <x v="7"/>
    <m/>
    <m/>
    <d v="2017-04-07T00:00:00"/>
    <d v="2017-04-10T00:00:00"/>
    <m/>
    <s v="Closed"/>
    <n v="1"/>
    <m/>
    <x v="2"/>
    <m/>
    <m/>
  </r>
  <r>
    <s v="1.9.6.2"/>
    <m/>
    <s v="不足業務フローの意識あわせ（Nieda★/Tosaka/Tuyen）"/>
    <x v="5"/>
    <d v="2017-04-13T00:00:00"/>
    <x v="7"/>
    <m/>
    <m/>
    <d v="2017-04-03T00:00:00"/>
    <d v="2017-04-03T00:00:00"/>
    <m/>
    <s v="Closed"/>
    <n v="1"/>
    <m/>
    <x v="2"/>
    <m/>
    <m/>
  </r>
  <r>
    <s v="1.9.6.3"/>
    <m/>
    <s v="RV＆PM-Approval（Nieda/Tosaka/Tuyen/Takeda★）"/>
    <x v="1"/>
    <d v="2017-04-14T00:00:00"/>
    <x v="4"/>
    <m/>
    <m/>
    <d v="2017-04-10T00:00:00"/>
    <m/>
    <m/>
    <s v="On-going"/>
    <n v="0.02"/>
    <m/>
    <x v="2"/>
    <m/>
    <m/>
  </r>
  <r>
    <s v="1.9.7"/>
    <m/>
    <s v="機能一覧（WMS/CMN）"/>
    <x v="0"/>
    <m/>
    <x v="0"/>
    <m/>
    <m/>
    <m/>
    <m/>
    <m/>
    <m/>
    <m/>
    <m/>
    <x v="0"/>
    <m/>
    <m/>
  </r>
  <r>
    <s v="1.9.7.1"/>
    <m/>
    <s v="機能一覧の記載内容角に及び修正（Nieda/Tosaka★/Tin）"/>
    <x v="4"/>
    <d v="2017-03-29T00:00:00"/>
    <x v="5"/>
    <m/>
    <m/>
    <d v="2017-03-29T00:00:00"/>
    <d v="2017-03-30T00:00:00"/>
    <m/>
    <s v="Closed"/>
    <n v="1"/>
    <m/>
    <x v="3"/>
    <m/>
    <m/>
  </r>
  <r>
    <s v="1.9.7.2"/>
    <m/>
    <s v="上記修正が完了したあとにSub-Project1/Ph1のScopeを明確にする。※ABEの案件Scope確定のため（Nieda/Tosaka/Tin★）"/>
    <x v="7"/>
    <d v="2017-03-29T00:00:00"/>
    <x v="5"/>
    <m/>
    <m/>
    <d v="2017-03-30T00:00:00"/>
    <d v="2017-03-30T00:00:00"/>
    <m/>
    <s v="Closed"/>
    <n v="1"/>
    <m/>
    <x v="3"/>
    <m/>
    <m/>
  </r>
  <r>
    <s v="1.9.7.3"/>
    <m/>
    <s v="RV（Nieda★/Tosaka/Tin）"/>
    <x v="5"/>
    <d v="2017-03-29T00:00:00"/>
    <x v="5"/>
    <m/>
    <m/>
    <d v="2017-03-30T00:00:00"/>
    <d v="2017-03-30T00:00:00"/>
    <m/>
    <s v="Closed"/>
    <n v="1"/>
    <m/>
    <x v="3"/>
    <m/>
    <m/>
  </r>
  <r>
    <s v="1.9.7.4"/>
    <m/>
    <s v="PM-Approval（Nieda/Tosaka/Tin/武田★）"/>
    <x v="1"/>
    <d v="2017-03-29T00:00:00"/>
    <x v="5"/>
    <m/>
    <m/>
    <d v="2017-04-04T00:00:00"/>
    <d v="2017-04-06T00:00:00"/>
    <m/>
    <s v="Closed"/>
    <n v="1"/>
    <m/>
    <x v="3"/>
    <m/>
    <m/>
  </r>
  <r>
    <s v="1.9.7.5"/>
    <m/>
    <s v="修正（CR's No.5～No.19）"/>
    <x v="7"/>
    <d v="2017-04-11T00:00:00"/>
    <x v="6"/>
    <m/>
    <m/>
    <d v="2017-04-05T00:00:00"/>
    <d v="2017-04-05T00:00:00"/>
    <m/>
    <s v="Closed"/>
    <n v="1"/>
    <m/>
    <x v="3"/>
    <m/>
    <m/>
  </r>
  <r>
    <s v="1.9.7.6"/>
    <m/>
    <s v="RV（CR's No.5～No.19）"/>
    <x v="5"/>
    <d v="2017-04-11T00:00:00"/>
    <x v="13"/>
    <m/>
    <m/>
    <d v="2017-04-12T00:00:00"/>
    <d v="2017-04-12T00:00:00"/>
    <m/>
    <s v="Closed"/>
    <n v="1"/>
    <m/>
    <x v="3"/>
    <m/>
    <m/>
  </r>
  <r>
    <s v="1.9.7.7"/>
    <m/>
    <s v="PM-Approval（CR's No.5～No.19）"/>
    <x v="1"/>
    <d v="2017-04-12T00:00:00"/>
    <x v="13"/>
    <m/>
    <m/>
    <d v="2017-04-12T00:00:00"/>
    <m/>
    <m/>
    <s v="On-going"/>
    <n v="0.5"/>
    <m/>
    <x v="3"/>
    <m/>
    <m/>
  </r>
  <r>
    <s v="1.9.8"/>
    <m/>
    <s v="UI標準"/>
    <x v="0"/>
    <m/>
    <x v="0"/>
    <m/>
    <m/>
    <m/>
    <m/>
    <m/>
    <m/>
    <m/>
    <m/>
    <x v="0"/>
    <m/>
    <m/>
  </r>
  <r>
    <s v="1.9.8.1"/>
    <m/>
    <s v="資料作成"/>
    <x v="8"/>
    <d v="2017-03-30T00:00:00"/>
    <x v="10"/>
    <m/>
    <m/>
    <d v="2017-04-05T00:00:00"/>
    <d v="2017-04-10T00:00:00"/>
    <m/>
    <s v="Closed"/>
    <n v="1"/>
    <m/>
    <x v="4"/>
    <m/>
    <m/>
  </r>
  <r>
    <s v="1.9.8.2"/>
    <m/>
    <s v="Review"/>
    <x v="9"/>
    <d v="2017-04-11T00:00:00"/>
    <x v="13"/>
    <m/>
    <m/>
    <d v="2017-04-12T00:00:00"/>
    <d v="2017-04-12T00:00:00"/>
    <m/>
    <s v="Closed"/>
    <n v="1"/>
    <m/>
    <x v="4"/>
    <m/>
    <m/>
  </r>
  <r>
    <s v="1.9.8.3"/>
    <m/>
    <s v="PM-Approval（Khoa/武田★）"/>
    <x v="1"/>
    <d v="2017-04-12T00:00:00"/>
    <x v="13"/>
    <m/>
    <m/>
    <m/>
    <m/>
    <m/>
    <m/>
    <m/>
    <m/>
    <x v="4"/>
    <m/>
    <m/>
  </r>
  <r>
    <s v="1.9.9"/>
    <m/>
    <s v="画面定義書（WMS/CMN）"/>
    <x v="0"/>
    <m/>
    <x v="0"/>
    <m/>
    <m/>
    <m/>
    <m/>
    <m/>
    <m/>
    <m/>
    <m/>
    <x v="0"/>
    <m/>
    <m/>
  </r>
  <r>
    <s v="1.9.9.1"/>
    <m/>
    <s v="作成状況確認（Khoa/Tosaka）"/>
    <x v="9"/>
    <d v="2017-03-30T00:00:00"/>
    <x v="12"/>
    <m/>
    <m/>
    <d v="2017-03-31T00:00:00"/>
    <d v="2017-03-31T00:00:00"/>
    <m/>
    <s v="Closed"/>
    <n v="1"/>
    <m/>
    <x v="3"/>
    <m/>
    <m/>
  </r>
  <r>
    <s v="1.9.9.2"/>
    <m/>
    <s v="贄田さんコメントの取込状況の展開（Khoa/Tosaka）"/>
    <x v="4"/>
    <d v="2017-03-31T00:00:00"/>
    <x v="12"/>
    <m/>
    <m/>
    <d v="2017-03-31T00:00:00"/>
    <d v="2017-03-31T00:00:00"/>
    <m/>
    <s v="Closed"/>
    <n v="1"/>
    <m/>
    <x v="3"/>
    <m/>
    <m/>
  </r>
  <r>
    <s v="1.9.9.3"/>
    <m/>
    <s v="作成不足分のL3Schedule作成（Khoa/Thinh★）"/>
    <x v="2"/>
    <d v="2017-03-31T00:00:00"/>
    <x v="12"/>
    <m/>
    <m/>
    <m/>
    <d v="2017-03-31T00:00:00"/>
    <m/>
    <s v="Cancel"/>
    <m/>
    <m/>
    <x v="3"/>
    <m/>
    <m/>
  </r>
  <r>
    <s v="1.9.9.4"/>
    <m/>
    <s v="不足分の作成（PG：Shedule ManagementはThinh 作成方法についてのPGサポートはTLおよびKhoa）"/>
    <x v="2"/>
    <d v="2017-03-31T00:00:00"/>
    <x v="10"/>
    <m/>
    <m/>
    <d v="2017-03-31T00:00:00"/>
    <d v="2017-03-31T00:00:00"/>
    <m/>
    <s v="Closed"/>
    <n v="1"/>
    <m/>
    <x v="3"/>
    <m/>
    <m/>
  </r>
  <r>
    <s v="1.9.9.5"/>
    <m/>
    <s v="RV（TL ※RVerはKhoaくんがAssignmentしてください）"/>
    <x v="9"/>
    <d v="2017-03-31T00:00:00"/>
    <x v="10"/>
    <m/>
    <m/>
    <d v="2017-04-03T00:00:00"/>
    <d v="2017-04-03T00:00:00"/>
    <m/>
    <s v="Closed"/>
    <n v="1"/>
    <m/>
    <x v="3"/>
    <m/>
    <m/>
  </r>
  <r>
    <s v="1.9.9.6"/>
    <m/>
    <s v="Approval（Khoa/Tosaka）"/>
    <x v="9"/>
    <d v="2017-04-04T00:00:00"/>
    <x v="3"/>
    <m/>
    <d v="2017-04-10T00:00:00"/>
    <d v="2017-04-10T00:00:00"/>
    <d v="2017-04-10T00:00:00"/>
    <m/>
    <s v="Closed"/>
    <n v="1"/>
    <m/>
    <x v="3"/>
    <m/>
    <m/>
  </r>
  <r>
    <s v="1.9.9.7"/>
    <m/>
    <s v="Sample RV（Khoa/Takeda★）"/>
    <x v="1"/>
    <d v="2017-04-04T00:00:00"/>
    <x v="3"/>
    <m/>
    <d v="2017-04-11T00:00:00"/>
    <d v="2017-04-11T00:00:00"/>
    <m/>
    <m/>
    <s v="On-going"/>
    <n v="0.5"/>
    <m/>
    <x v="3"/>
    <m/>
    <m/>
  </r>
  <r>
    <s v="1.9.10"/>
    <m/>
    <s v="帳票定義書（WMS/CMN）"/>
    <x v="0"/>
    <m/>
    <x v="0"/>
    <m/>
    <m/>
    <m/>
    <m/>
    <m/>
    <m/>
    <m/>
    <m/>
    <x v="0"/>
    <m/>
    <m/>
  </r>
  <r>
    <s v="1.9.10.1"/>
    <m/>
    <s v="作成状況確認（Khoa）"/>
    <x v="9"/>
    <d v="2017-03-30T00:00:00"/>
    <x v="12"/>
    <m/>
    <m/>
    <d v="2017-03-31T00:00:00"/>
    <d v="2017-04-03T00:00:00"/>
    <m/>
    <s v="Closed"/>
    <n v="1"/>
    <m/>
    <x v="3"/>
    <m/>
    <m/>
  </r>
  <r>
    <s v="1.9.10.2"/>
    <m/>
    <s v="作成不足分のL3Schedule作成（Khoa/Thinh★）"/>
    <x v="2"/>
    <d v="2017-03-31T00:00:00"/>
    <x v="12"/>
    <m/>
    <m/>
    <m/>
    <d v="2017-03-31T00:00:00"/>
    <m/>
    <s v="Cancel"/>
    <m/>
    <m/>
    <x v="3"/>
    <m/>
    <m/>
  </r>
  <r>
    <s v="1.9.10.3"/>
    <m/>
    <s v="不足分の作成（PG：Shedule ManagementはThinh 作成方法についてのPGサポートはTLおよびKhoa）"/>
    <x v="2"/>
    <d v="2017-03-31T00:00:00"/>
    <x v="10"/>
    <m/>
    <m/>
    <d v="2017-03-31T00:00:00"/>
    <d v="2017-03-31T00:00:00"/>
    <m/>
    <s v="Closed"/>
    <n v="1"/>
    <m/>
    <x v="3"/>
    <m/>
    <m/>
  </r>
  <r>
    <s v="1.9.10.4"/>
    <m/>
    <s v="RV（TL ※RVerはKhoaくんがAssignmentしてください）"/>
    <x v="9"/>
    <d v="2017-03-31T00:00:00"/>
    <x v="10"/>
    <m/>
    <m/>
    <d v="2017-04-05T00:00:00"/>
    <d v="2017-04-05T00:00:00"/>
    <m/>
    <s v="Closed"/>
    <n v="1"/>
    <m/>
    <x v="3"/>
    <m/>
    <m/>
  </r>
  <r>
    <s v="1.9.10.5"/>
    <m/>
    <s v="Approval（Khoa）"/>
    <x v="9"/>
    <d v="2017-04-04T00:00:00"/>
    <x v="3"/>
    <m/>
    <d v="2017-04-10T00:00:00"/>
    <d v="2017-04-10T00:00:00"/>
    <d v="2017-04-10T00:00:00"/>
    <m/>
    <s v="Closed"/>
    <n v="1"/>
    <m/>
    <x v="3"/>
    <m/>
    <m/>
  </r>
  <r>
    <s v="1.9.10.6"/>
    <m/>
    <s v="Sample RV（Khoa/Takeda★）"/>
    <x v="1"/>
    <d v="2017-04-04T00:00:00"/>
    <x v="3"/>
    <m/>
    <d v="2017-04-11T00:00:00"/>
    <d v="2017-04-11T00:00:00"/>
    <m/>
    <m/>
    <s v="On-going"/>
    <n v="0.5"/>
    <m/>
    <x v="3"/>
    <m/>
    <m/>
  </r>
  <r>
    <s v="1.9.11"/>
    <m/>
    <s v="画面一覧（WMS/CMN）"/>
    <x v="0"/>
    <m/>
    <x v="0"/>
    <m/>
    <m/>
    <m/>
    <m/>
    <m/>
    <m/>
    <m/>
    <m/>
    <x v="0"/>
    <m/>
    <m/>
  </r>
  <r>
    <s v="1.9.11.1"/>
    <m/>
    <s v="PGもしくはTLへの作成指示（Khoa★/Tuyen/Thinh）"/>
    <x v="9"/>
    <d v="2017-03-30T00:00:00"/>
    <x v="5"/>
    <m/>
    <m/>
    <d v="2017-03-30T00:00:00"/>
    <d v="2017-03-30T00:00:00"/>
    <m/>
    <s v="Closed"/>
    <n v="1"/>
    <m/>
    <x v="3"/>
    <m/>
    <m/>
  </r>
  <r>
    <s v="1.9.11.2"/>
    <m/>
    <s v="RV（TL ※RVerはKhoaくんがAssignmentしてください）"/>
    <x v="9"/>
    <d v="2017-03-30T00:00:00"/>
    <x v="5"/>
    <m/>
    <m/>
    <d v="2017-03-30T00:00:00"/>
    <d v="2017-03-30T00:00:00"/>
    <m/>
    <s v="Closed"/>
    <n v="1"/>
    <m/>
    <x v="3"/>
    <m/>
    <m/>
  </r>
  <r>
    <s v="1.9.11.3"/>
    <m/>
    <s v="Approval（Tuyen/Thinh）"/>
    <x v="2"/>
    <d v="2017-03-30T00:00:00"/>
    <x v="5"/>
    <m/>
    <m/>
    <d v="2017-03-30T00:00:00"/>
    <d v="2017-03-31T00:00:00"/>
    <m/>
    <s v="Closed"/>
    <n v="1"/>
    <m/>
    <x v="3"/>
    <m/>
    <m/>
  </r>
  <r>
    <s v="1.9.11.4"/>
    <m/>
    <s v="Sample RV（Tuyen/Thinh /Takeda★）"/>
    <x v="1"/>
    <d v="2017-03-31T00:00:00"/>
    <x v="12"/>
    <m/>
    <m/>
    <d v="2017-03-31T00:00:00"/>
    <d v="2017-03-31T00:00:00"/>
    <m/>
    <s v="Closed"/>
    <n v="1"/>
    <m/>
    <x v="3"/>
    <m/>
    <m/>
  </r>
  <r>
    <s v="1.9.11.5"/>
    <m/>
    <s v="Sample RV(CR's)（Tuyen/Thinh /Takeda★）"/>
    <x v="1"/>
    <d v="2017-04-04T00:00:00"/>
    <x v="1"/>
    <m/>
    <m/>
    <d v="2017-04-05T00:00:00"/>
    <d v="2017-04-05T00:00:00"/>
    <m/>
    <s v="Closed"/>
    <n v="1"/>
    <m/>
    <x v="3"/>
    <m/>
    <m/>
  </r>
  <r>
    <s v="1.9.11.6"/>
    <m/>
    <s v="修正（CR's No.5～No.19）"/>
    <x v="2"/>
    <d v="2017-04-12T00:00:00"/>
    <x v="13"/>
    <m/>
    <m/>
    <d v="2017-04-12T00:00:00"/>
    <d v="2017-04-12T00:00:00"/>
    <m/>
    <s v="Closed"/>
    <n v="1"/>
    <m/>
    <x v="3"/>
    <m/>
    <m/>
  </r>
  <r>
    <s v="1.9.11.7"/>
    <m/>
    <s v="RV（CR's No.5～No.19）"/>
    <x v="1"/>
    <d v="2017-04-12T00:00:00"/>
    <x v="13"/>
    <m/>
    <m/>
    <m/>
    <m/>
    <m/>
    <m/>
    <m/>
    <m/>
    <x v="3"/>
    <m/>
    <m/>
  </r>
  <r>
    <s v="1.9.11.8"/>
    <m/>
    <s v="PM-Approval（CR's No.5～No.19）"/>
    <x v="1"/>
    <d v="2017-04-12T00:00:00"/>
    <x v="13"/>
    <m/>
    <m/>
    <m/>
    <m/>
    <m/>
    <m/>
    <m/>
    <m/>
    <x v="3"/>
    <m/>
    <m/>
  </r>
  <r>
    <s v="1.9.12"/>
    <m/>
    <s v="帳票一覧（WMS/CMN）"/>
    <x v="0"/>
    <m/>
    <x v="0"/>
    <m/>
    <m/>
    <m/>
    <m/>
    <m/>
    <m/>
    <m/>
    <m/>
    <x v="0"/>
    <m/>
    <m/>
  </r>
  <r>
    <s v="1.9.12.1"/>
    <m/>
    <s v="PGもしくはTLへの作成指示（Khoa★/Tuyen/Thinh）"/>
    <x v="9"/>
    <d v="2017-03-30T00:00:00"/>
    <x v="5"/>
    <m/>
    <m/>
    <d v="2017-03-30T00:00:00"/>
    <d v="2017-03-30T00:00:00"/>
    <m/>
    <s v="Closed"/>
    <n v="1"/>
    <m/>
    <x v="3"/>
    <m/>
    <m/>
  </r>
  <r>
    <s v="1.9.12.2"/>
    <m/>
    <s v="RV（TL ※RVerはKhoaくんがAssignmentしてください）"/>
    <x v="9"/>
    <d v="2017-03-30T00:00:00"/>
    <x v="5"/>
    <m/>
    <m/>
    <d v="2017-03-30T00:00:00"/>
    <d v="2017-03-30T00:00:00"/>
    <m/>
    <s v="Closed"/>
    <n v="1"/>
    <m/>
    <x v="3"/>
    <m/>
    <m/>
  </r>
  <r>
    <s v="1.9.12.3"/>
    <m/>
    <s v="Approval（Tuyen/Thinh）"/>
    <x v="2"/>
    <d v="2017-03-30T00:00:00"/>
    <x v="5"/>
    <m/>
    <m/>
    <d v="2017-03-30T00:00:00"/>
    <d v="2017-03-31T00:00:00"/>
    <m/>
    <s v="Closed"/>
    <n v="1"/>
    <m/>
    <x v="3"/>
    <m/>
    <m/>
  </r>
  <r>
    <s v="1.9.12.4"/>
    <m/>
    <s v="Sample RV（Tuyen/Thinh /Takeda★）"/>
    <x v="1"/>
    <d v="2017-03-31T00:00:00"/>
    <x v="12"/>
    <m/>
    <m/>
    <d v="2017-03-31T00:00:00"/>
    <d v="2017-03-31T00:00:00"/>
    <m/>
    <s v="Closed"/>
    <n v="1"/>
    <m/>
    <x v="3"/>
    <m/>
    <m/>
  </r>
  <r>
    <s v="1.9.12.5"/>
    <m/>
    <s v="Sample RV(CR's)（Tuyen/Thinh /Takeda★）"/>
    <x v="1"/>
    <d v="2017-04-04T00:00:00"/>
    <x v="1"/>
    <m/>
    <m/>
    <d v="2017-04-05T00:00:00"/>
    <d v="2017-04-05T00:00:00"/>
    <m/>
    <s v="Closed"/>
    <n v="1"/>
    <m/>
    <x v="3"/>
    <m/>
    <m/>
  </r>
  <r>
    <s v="1.9.12.6"/>
    <m/>
    <s v="修正（CR's No.5～No.19）"/>
    <x v="2"/>
    <d v="2017-04-12T00:00:00"/>
    <x v="13"/>
    <m/>
    <m/>
    <d v="2017-04-12T00:00:00"/>
    <d v="2017-04-12T00:00:00"/>
    <m/>
    <s v="Closed"/>
    <n v="1"/>
    <m/>
    <x v="3"/>
    <m/>
    <m/>
  </r>
  <r>
    <s v="1.9.12.7"/>
    <m/>
    <s v="RV（CR's No.5～No.19）"/>
    <x v="1"/>
    <d v="2017-04-12T00:00:00"/>
    <x v="13"/>
    <m/>
    <m/>
    <m/>
    <m/>
    <m/>
    <m/>
    <m/>
    <m/>
    <x v="3"/>
    <m/>
    <m/>
  </r>
  <r>
    <s v="1.9.12.8"/>
    <m/>
    <s v="PM-Approval（CR's No.5～No.19）"/>
    <x v="1"/>
    <d v="2017-04-12T00:00:00"/>
    <x v="13"/>
    <m/>
    <m/>
    <m/>
    <m/>
    <m/>
    <m/>
    <m/>
    <m/>
    <x v="3"/>
    <m/>
    <m/>
  </r>
  <r>
    <s v="1.9.13"/>
    <m/>
    <s v="ER図（WMS/CMN）"/>
    <x v="0"/>
    <m/>
    <x v="0"/>
    <m/>
    <m/>
    <m/>
    <m/>
    <m/>
    <m/>
    <m/>
    <m/>
    <x v="0"/>
    <m/>
    <m/>
  </r>
  <r>
    <s v="1.9.13.1"/>
    <m/>
    <s v="ER-Diagramの修正（Tosaka）"/>
    <x v="4"/>
    <d v="2017-03-29T00:00:00"/>
    <x v="12"/>
    <m/>
    <m/>
    <d v="2017-03-29T00:00:00"/>
    <d v="2017-03-30T00:00:00"/>
    <m/>
    <s v="Closed"/>
    <n v="1"/>
    <m/>
    <x v="4"/>
    <m/>
    <m/>
  </r>
  <r>
    <s v="1.9.13.2"/>
    <m/>
    <s v="エンティティ定義書のExport（Tosaka）※この作業はTLに振ってもよし"/>
    <x v="4"/>
    <d v="2017-03-29T00:00:00"/>
    <x v="12"/>
    <m/>
    <m/>
    <d v="2017-03-30T00:00:00"/>
    <d v="2017-03-30T00:00:00"/>
    <m/>
    <s v="Closed"/>
    <n v="1"/>
    <m/>
    <x v="4"/>
    <m/>
    <m/>
  </r>
  <r>
    <s v="1.9.13.3"/>
    <m/>
    <s v="RV（Tosaka/Tuyen/Khoa/Tin/Thinh/武田）"/>
    <x v="10"/>
    <d v="2017-03-31T00:00:00"/>
    <x v="12"/>
    <m/>
    <d v="2017-04-05T00:00:00"/>
    <d v="2017-03-30T00:00:00"/>
    <d v="2017-04-05T00:00:00"/>
    <m/>
    <s v="Closed"/>
    <n v="1"/>
    <m/>
    <x v="4"/>
    <m/>
    <m/>
  </r>
  <r>
    <s v="1.9.13.4"/>
    <m/>
    <s v="Approval（Takeda）"/>
    <x v="1"/>
    <d v="2017-04-03T00:00:00"/>
    <x v="3"/>
    <m/>
    <d v="2017-04-05T00:00:00"/>
    <d v="2017-04-09T00:00:00"/>
    <d v="2017-04-09T00:00:00"/>
    <m/>
    <s v="Pending"/>
    <n v="0.8"/>
    <m/>
    <x v="4"/>
    <m/>
    <m/>
  </r>
  <r>
    <s v="1.9.14"/>
    <m/>
    <s v="エンティティ定義書（WMS/CMN）_x000a_エンティティ一覧（WMS/CMN）"/>
    <x v="0"/>
    <m/>
    <x v="0"/>
    <m/>
    <m/>
    <m/>
    <m/>
    <m/>
    <m/>
    <m/>
    <m/>
    <x v="0"/>
    <m/>
    <m/>
  </r>
  <r>
    <s v="1.9.14.1"/>
    <m/>
    <s v="ER-Diagramの修正（Tosaka）"/>
    <x v="4"/>
    <d v="2017-03-29T00:00:00"/>
    <x v="12"/>
    <m/>
    <m/>
    <d v="2017-03-29T00:00:00"/>
    <d v="2017-03-30T00:00:00"/>
    <m/>
    <s v="Closed"/>
    <n v="1"/>
    <m/>
    <x v="4"/>
    <m/>
    <m/>
  </r>
  <r>
    <s v="1.9.14.2"/>
    <m/>
    <s v="エンティティ定義書のExport（Tosaka）※この作業はTLに振ってもよし"/>
    <x v="4"/>
    <d v="2017-03-29T00:00:00"/>
    <x v="12"/>
    <m/>
    <m/>
    <d v="2017-03-30T00:00:00"/>
    <d v="2017-03-30T00:00:00"/>
    <m/>
    <s v="Closed"/>
    <n v="1"/>
    <m/>
    <x v="4"/>
    <m/>
    <m/>
  </r>
  <r>
    <s v="1.9.14.3"/>
    <m/>
    <s v="RV（Tosaka/Tuyen/Khoa/Tin/Thinh/武田）"/>
    <x v="10"/>
    <d v="2017-03-31T00:00:00"/>
    <x v="12"/>
    <m/>
    <d v="2017-04-05T00:00:00"/>
    <d v="2017-03-30T00:00:00"/>
    <d v="2017-04-05T00:00:00"/>
    <m/>
    <s v="Closed"/>
    <n v="1"/>
    <m/>
    <x v="4"/>
    <m/>
    <m/>
  </r>
  <r>
    <s v="1.9.14.4"/>
    <m/>
    <s v="Approval（Takeda）"/>
    <x v="1"/>
    <d v="2017-04-03T00:00:00"/>
    <x v="3"/>
    <m/>
    <d v="2017-04-05T00:00:00"/>
    <d v="2017-04-09T00:00:00"/>
    <d v="2017-04-09T00:00:00"/>
    <m/>
    <s v="Pending"/>
    <n v="0.8"/>
    <m/>
    <x v="4"/>
    <m/>
    <m/>
  </r>
  <r>
    <s v="1.9.15"/>
    <m/>
    <s v="命名規則/辞書"/>
    <x v="0"/>
    <m/>
    <x v="0"/>
    <m/>
    <m/>
    <m/>
    <m/>
    <m/>
    <m/>
    <m/>
    <m/>
    <x v="0"/>
    <m/>
    <m/>
  </r>
  <r>
    <s v="1.9.15.1"/>
    <m/>
    <s v="記載内容確認（Tosaka★/Tuyen）"/>
    <x v="4"/>
    <d v="2017-04-10T00:00:00"/>
    <x v="2"/>
    <m/>
    <m/>
    <m/>
    <m/>
    <m/>
    <m/>
    <m/>
    <m/>
    <x v="1"/>
    <m/>
    <m/>
  </r>
  <r>
    <s v="1.9.15.2"/>
    <m/>
    <s v="RV＆PM-Approval（Tosaka★/Tuyen）"/>
    <x v="1"/>
    <d v="2017-04-11T00:00:00"/>
    <x v="6"/>
    <m/>
    <m/>
    <m/>
    <m/>
    <m/>
    <m/>
    <m/>
    <m/>
    <x v="1"/>
    <m/>
    <m/>
  </r>
  <r>
    <s v="1.9.16"/>
    <m/>
    <s v="外部インターフェース一覧"/>
    <x v="0"/>
    <m/>
    <x v="0"/>
    <m/>
    <m/>
    <m/>
    <m/>
    <m/>
    <m/>
    <m/>
    <m/>
    <x v="0"/>
    <m/>
    <m/>
  </r>
  <r>
    <s v="1.9.16.1"/>
    <m/>
    <s v="PGもしくはTLへの作成指示（Khoa★/Tuyen/Thinh）"/>
    <x v="9"/>
    <d v="2017-03-30T00:00:00"/>
    <x v="3"/>
    <m/>
    <m/>
    <d v="2017-04-05T00:00:00"/>
    <d v="2017-04-05T00:00:00"/>
    <m/>
    <s v="Closed"/>
    <n v="1"/>
    <m/>
    <x v="4"/>
    <m/>
    <m/>
  </r>
  <r>
    <s v="1.9.16.2"/>
    <m/>
    <s v="RV（TL ※RVerはKhoaくんがAssignmentしてください）"/>
    <x v="9"/>
    <d v="2017-04-05T00:00:00"/>
    <x v="1"/>
    <m/>
    <m/>
    <d v="2017-04-05T00:00:00"/>
    <d v="2017-04-05T00:00:00"/>
    <m/>
    <s v="Closed"/>
    <n v="1"/>
    <m/>
    <x v="4"/>
    <m/>
    <m/>
  </r>
  <r>
    <s v="1.9.16.3"/>
    <m/>
    <s v="Approval（Tuyen/Thinh）"/>
    <x v="6"/>
    <d v="2017-04-10T00:00:00"/>
    <x v="2"/>
    <m/>
    <m/>
    <d v="2017-04-10T00:00:00"/>
    <d v="2017-04-10T00:00:00"/>
    <m/>
    <s v="Closed"/>
    <n v="1"/>
    <m/>
    <x v="4"/>
    <m/>
    <m/>
  </r>
  <r>
    <s v="1.9.16.4"/>
    <m/>
    <s v="Sample RV（Tuyen/Thinh /Takeda★）"/>
    <x v="1"/>
    <d v="2017-04-10T00:00:00"/>
    <x v="2"/>
    <m/>
    <d v="2017-04-11T00:00:00"/>
    <d v="2017-04-11T00:00:00"/>
    <d v="2017-04-11T00:00:00"/>
    <m/>
    <s v="Closed"/>
    <n v="1"/>
    <m/>
    <x v="4"/>
    <m/>
    <m/>
  </r>
  <r>
    <s v="1.9.17"/>
    <m/>
    <s v="開発パッケージ構成ポリシー"/>
    <x v="0"/>
    <m/>
    <x v="0"/>
    <m/>
    <m/>
    <m/>
    <m/>
    <m/>
    <m/>
    <m/>
    <m/>
    <x v="0"/>
    <m/>
    <m/>
  </r>
  <r>
    <s v="1.9.17.1"/>
    <m/>
    <s v="検討会の実施（Tosaka/Tin/Khoa/Tuyen/Huan/Vy/My）"/>
    <x v="4"/>
    <d v="2017-03-30T00:00:00"/>
    <x v="10"/>
    <m/>
    <m/>
    <d v="2017-04-03T00:00:00"/>
    <d v="2017-04-03T00:00:00"/>
    <m/>
    <s v="Closed"/>
    <n v="1"/>
    <m/>
    <x v="0"/>
    <m/>
    <m/>
  </r>
  <r>
    <s v="1.9.17.2"/>
    <m/>
    <s v="ドキュメントの作成（アサインはTosakaさんにまかせます）"/>
    <x v="4"/>
    <d v="2017-04-03T00:00:00"/>
    <x v="1"/>
    <m/>
    <m/>
    <d v="2017-04-03T00:00:00"/>
    <d v="2017-04-05T00:00:00"/>
    <m/>
    <s v="Closed"/>
    <n v="1"/>
    <m/>
    <x v="0"/>
    <m/>
    <m/>
  </r>
  <r>
    <s v="1.9.17.3"/>
    <m/>
    <s v="RV＆PM-Approval（Tosaka/Tin/Khoa/Tuyen/Takeda★）"/>
    <x v="1"/>
    <d v="2017-04-10T00:00:00"/>
    <x v="7"/>
    <m/>
    <m/>
    <m/>
    <m/>
    <m/>
    <m/>
    <m/>
    <m/>
    <x v="0"/>
    <m/>
    <m/>
  </r>
  <r>
    <s v="1.9.18"/>
    <m/>
    <s v="営業TOOLキット"/>
    <x v="0"/>
    <m/>
    <x v="0"/>
    <m/>
    <m/>
    <m/>
    <m/>
    <m/>
    <m/>
    <m/>
    <m/>
    <x v="0"/>
    <m/>
    <m/>
  </r>
  <r>
    <s v="1.9.18.1"/>
    <m/>
    <s v="・Business Flow（Tosaka/Nieda）"/>
    <x v="0"/>
    <m/>
    <x v="0"/>
    <m/>
    <m/>
    <m/>
    <m/>
    <m/>
    <m/>
    <m/>
    <m/>
    <x v="0"/>
    <m/>
    <m/>
  </r>
  <r>
    <s v="1.9.18.2"/>
    <m/>
    <s v="・Business Rule（Tosaka/Nieda）"/>
    <x v="0"/>
    <m/>
    <x v="0"/>
    <m/>
    <m/>
    <m/>
    <m/>
    <m/>
    <m/>
    <m/>
    <m/>
    <x v="0"/>
    <m/>
    <m/>
  </r>
  <r>
    <s v="1.9.18.3"/>
    <m/>
    <s v="・Screen MockUp（Khoa）"/>
    <x v="0"/>
    <m/>
    <x v="0"/>
    <m/>
    <m/>
    <m/>
    <m/>
    <m/>
    <m/>
    <m/>
    <m/>
    <x v="0"/>
    <m/>
    <m/>
  </r>
  <r>
    <s v="1.9.18.4"/>
    <m/>
    <s v="・Screen List（Tuyen/Thinh）"/>
    <x v="0"/>
    <m/>
    <x v="0"/>
    <m/>
    <m/>
    <m/>
    <m/>
    <m/>
    <m/>
    <m/>
    <m/>
    <x v="0"/>
    <m/>
    <m/>
  </r>
  <r>
    <s v="1.9.18.5"/>
    <m/>
    <s v="・Function List（Tosaka/Tin）"/>
    <x v="0"/>
    <m/>
    <x v="0"/>
    <m/>
    <m/>
    <m/>
    <m/>
    <m/>
    <m/>
    <m/>
    <m/>
    <x v="0"/>
    <m/>
    <m/>
  </r>
  <r>
    <s v="1.9.18.6"/>
    <m/>
    <s v="・Report List（Tuyen/Thinh）"/>
    <x v="0"/>
    <m/>
    <x v="0"/>
    <m/>
    <m/>
    <m/>
    <m/>
    <m/>
    <m/>
    <m/>
    <m/>
    <x v="0"/>
    <m/>
    <m/>
  </r>
  <r>
    <s v="1.9.18.7"/>
    <m/>
    <s v="各ドキュメントの作成およびRV（各責任者）"/>
    <x v="0"/>
    <m/>
    <x v="0"/>
    <m/>
    <m/>
    <m/>
    <m/>
    <m/>
    <m/>
    <m/>
    <m/>
    <x v="0"/>
    <m/>
    <m/>
  </r>
  <r>
    <s v="1.9.18.8"/>
    <m/>
    <s v="PM-Approval（各責任者と武田）"/>
    <x v="0"/>
    <m/>
    <x v="0"/>
    <m/>
    <m/>
    <m/>
    <m/>
    <m/>
    <m/>
    <m/>
    <m/>
    <x v="0"/>
    <m/>
    <m/>
  </r>
  <r>
    <s v="1.9.18.9"/>
    <m/>
    <s v="贄田さんに格納場所の連絡（武田）"/>
    <x v="1"/>
    <d v="2017-04-04T00:00:00"/>
    <x v="3"/>
    <m/>
    <d v="2017-04-12T00:00:00"/>
    <d v="2017-04-12T00:00:00"/>
    <d v="2017-04-12T00:00:00"/>
    <m/>
    <s v="Closed"/>
    <n v="1"/>
    <m/>
    <x v="3"/>
    <m/>
    <m/>
  </r>
  <r>
    <m/>
    <m/>
    <m/>
    <x v="0"/>
    <m/>
    <x v="0"/>
    <m/>
    <m/>
    <m/>
    <m/>
    <m/>
    <m/>
    <m/>
    <m/>
    <x v="0"/>
    <m/>
    <m/>
  </r>
  <r>
    <n v="2.1"/>
    <m/>
    <s v="ビジネス概要"/>
    <x v="0"/>
    <m/>
    <x v="0"/>
    <m/>
    <m/>
    <m/>
    <m/>
    <m/>
    <m/>
    <m/>
    <m/>
    <x v="0"/>
    <m/>
    <m/>
  </r>
  <r>
    <s v="2.1.1"/>
    <m/>
    <s v="ビジネス概要作成"/>
    <x v="0"/>
    <m/>
    <x v="0"/>
    <m/>
    <m/>
    <m/>
    <m/>
    <m/>
    <m/>
    <m/>
    <m/>
    <x v="0"/>
    <m/>
    <m/>
  </r>
  <r>
    <s v="2.1.2"/>
    <m/>
    <s v="ビジネス概要Rv"/>
    <x v="0"/>
    <m/>
    <x v="0"/>
    <m/>
    <m/>
    <m/>
    <m/>
    <m/>
    <m/>
    <m/>
    <m/>
    <x v="0"/>
    <m/>
    <m/>
  </r>
  <r>
    <s v="2.1.3"/>
    <m/>
    <s v="ビジネス概要Rv反映"/>
    <x v="0"/>
    <m/>
    <x v="0"/>
    <m/>
    <m/>
    <m/>
    <m/>
    <m/>
    <m/>
    <m/>
    <m/>
    <x v="0"/>
    <m/>
    <m/>
  </r>
  <r>
    <s v="2.1.4"/>
    <m/>
    <s v="ビジネス概要承認"/>
    <x v="0"/>
    <m/>
    <x v="0"/>
    <m/>
    <m/>
    <m/>
    <m/>
    <m/>
    <m/>
    <m/>
    <m/>
    <x v="0"/>
    <m/>
    <m/>
  </r>
  <r>
    <n v="2.2000000000000002"/>
    <m/>
    <s v="ビジネスルール定義書（WMS/CMN）"/>
    <x v="0"/>
    <m/>
    <x v="0"/>
    <m/>
    <m/>
    <m/>
    <m/>
    <m/>
    <m/>
    <m/>
    <m/>
    <x v="0"/>
    <m/>
    <m/>
  </r>
  <r>
    <s v="2.2.1"/>
    <m/>
    <s v="ビジネスルール定義書（WMS/CMN）作成"/>
    <x v="0"/>
    <m/>
    <x v="0"/>
    <m/>
    <m/>
    <m/>
    <m/>
    <m/>
    <m/>
    <m/>
    <m/>
    <x v="0"/>
    <m/>
    <m/>
  </r>
  <r>
    <s v="2.2.2"/>
    <m/>
    <s v="ビジネスルール定義書（WMS/CMN）Rv"/>
    <x v="0"/>
    <m/>
    <x v="0"/>
    <m/>
    <m/>
    <m/>
    <m/>
    <m/>
    <m/>
    <m/>
    <m/>
    <x v="0"/>
    <m/>
    <m/>
  </r>
  <r>
    <s v="2.2.3"/>
    <m/>
    <s v="ビジネスルール定義書（WMS/CMN）Rv反映"/>
    <x v="0"/>
    <m/>
    <x v="0"/>
    <m/>
    <m/>
    <m/>
    <m/>
    <m/>
    <m/>
    <m/>
    <m/>
    <x v="0"/>
    <m/>
    <m/>
  </r>
  <r>
    <s v="2.2.4"/>
    <m/>
    <s v="ビジネスルール定義書（WMS/CMN）承認"/>
    <x v="0"/>
    <m/>
    <x v="0"/>
    <m/>
    <m/>
    <m/>
    <m/>
    <m/>
    <m/>
    <m/>
    <m/>
    <x v="0"/>
    <m/>
    <m/>
  </r>
  <r>
    <n v="2.2999999999999998"/>
    <m/>
    <s v="非機能定義書（WMS/CMN）"/>
    <x v="0"/>
    <m/>
    <x v="0"/>
    <m/>
    <m/>
    <m/>
    <m/>
    <m/>
    <m/>
    <m/>
    <m/>
    <x v="0"/>
    <m/>
    <m/>
  </r>
  <r>
    <s v="2.3.1"/>
    <m/>
    <s v="非機能定義書（WMS/CMN）作成"/>
    <x v="0"/>
    <m/>
    <x v="0"/>
    <m/>
    <m/>
    <m/>
    <m/>
    <m/>
    <m/>
    <m/>
    <m/>
    <x v="0"/>
    <m/>
    <m/>
  </r>
  <r>
    <s v="2.3.2"/>
    <m/>
    <s v="非機能定義書（WMS/CMN）Rv"/>
    <x v="0"/>
    <m/>
    <x v="0"/>
    <m/>
    <m/>
    <m/>
    <m/>
    <m/>
    <m/>
    <m/>
    <m/>
    <x v="0"/>
    <m/>
    <m/>
  </r>
  <r>
    <s v="2.3.3"/>
    <m/>
    <s v="非機能定義書（WMS/CMN）Rv反映"/>
    <x v="0"/>
    <m/>
    <x v="0"/>
    <m/>
    <m/>
    <m/>
    <m/>
    <m/>
    <m/>
    <m/>
    <m/>
    <x v="0"/>
    <m/>
    <m/>
  </r>
  <r>
    <s v="2.3.4"/>
    <m/>
    <s v="非機能定義書（WMS/CMN）承認"/>
    <x v="0"/>
    <m/>
    <x v="0"/>
    <m/>
    <m/>
    <m/>
    <m/>
    <m/>
    <m/>
    <m/>
    <m/>
    <x v="0"/>
    <m/>
    <m/>
  </r>
  <r>
    <n v="2.4"/>
    <m/>
    <s v="システム構成図/ネットワーク構成図"/>
    <x v="0"/>
    <m/>
    <x v="0"/>
    <m/>
    <m/>
    <m/>
    <m/>
    <m/>
    <m/>
    <m/>
    <m/>
    <x v="0"/>
    <m/>
    <m/>
  </r>
  <r>
    <s v="2.4.1"/>
    <m/>
    <s v="システム構成図/ネットワーク構成図作成"/>
    <x v="0"/>
    <m/>
    <x v="0"/>
    <m/>
    <m/>
    <m/>
    <m/>
    <m/>
    <m/>
    <m/>
    <m/>
    <x v="0"/>
    <m/>
    <m/>
  </r>
  <r>
    <s v="2.4.2"/>
    <m/>
    <s v="システム構成図/ネットワーク構成図Rv"/>
    <x v="0"/>
    <m/>
    <x v="0"/>
    <m/>
    <m/>
    <m/>
    <m/>
    <m/>
    <m/>
    <m/>
    <m/>
    <x v="0"/>
    <m/>
    <m/>
  </r>
  <r>
    <s v="2.4.3"/>
    <m/>
    <s v="システム構成図/ネットワーク構成図Rv反映"/>
    <x v="0"/>
    <m/>
    <x v="0"/>
    <m/>
    <m/>
    <m/>
    <m/>
    <m/>
    <m/>
    <m/>
    <m/>
    <x v="0"/>
    <m/>
    <m/>
  </r>
  <r>
    <s v="2.4.4"/>
    <m/>
    <s v="システム構成図/ネットワーク構成図承認"/>
    <x v="0"/>
    <m/>
    <x v="0"/>
    <m/>
    <m/>
    <m/>
    <m/>
    <m/>
    <m/>
    <m/>
    <m/>
    <x v="0"/>
    <m/>
    <m/>
  </r>
  <r>
    <n v="2.5"/>
    <m/>
    <s v="アクター定義書"/>
    <x v="0"/>
    <m/>
    <x v="0"/>
    <m/>
    <m/>
    <m/>
    <m/>
    <m/>
    <m/>
    <m/>
    <m/>
    <x v="0"/>
    <m/>
    <m/>
  </r>
  <r>
    <s v="2.5.1"/>
    <m/>
    <s v="アクター定義書作成"/>
    <x v="0"/>
    <m/>
    <x v="0"/>
    <m/>
    <m/>
    <m/>
    <m/>
    <m/>
    <m/>
    <m/>
    <m/>
    <x v="0"/>
    <m/>
    <m/>
  </r>
  <r>
    <s v="2.5.2"/>
    <m/>
    <s v="アクター定義書Rv"/>
    <x v="0"/>
    <m/>
    <x v="0"/>
    <m/>
    <m/>
    <m/>
    <m/>
    <m/>
    <m/>
    <m/>
    <m/>
    <x v="0"/>
    <m/>
    <m/>
  </r>
  <r>
    <s v="2.5.3"/>
    <m/>
    <s v="アクター定義書Rv反映"/>
    <x v="0"/>
    <m/>
    <x v="0"/>
    <m/>
    <m/>
    <m/>
    <m/>
    <m/>
    <m/>
    <m/>
    <m/>
    <x v="0"/>
    <m/>
    <m/>
  </r>
  <r>
    <s v="2.5.4"/>
    <m/>
    <s v="アクター定義書承認"/>
    <x v="0"/>
    <m/>
    <x v="0"/>
    <m/>
    <m/>
    <m/>
    <m/>
    <m/>
    <m/>
    <m/>
    <m/>
    <x v="0"/>
    <m/>
    <m/>
  </r>
  <r>
    <n v="2.6"/>
    <m/>
    <s v="業務フロー（WMS/CMN）"/>
    <x v="0"/>
    <m/>
    <x v="0"/>
    <m/>
    <m/>
    <m/>
    <m/>
    <m/>
    <m/>
    <m/>
    <m/>
    <x v="0"/>
    <m/>
    <m/>
  </r>
  <r>
    <s v="2.6.1"/>
    <m/>
    <s v="業務フロー（WMS/CMN）作成"/>
    <x v="0"/>
    <m/>
    <x v="0"/>
    <m/>
    <m/>
    <m/>
    <m/>
    <m/>
    <m/>
    <m/>
    <m/>
    <x v="0"/>
    <m/>
    <m/>
  </r>
  <r>
    <s v="2.6.2"/>
    <m/>
    <s v="業務フロー（WMS/CMN）Rv"/>
    <x v="0"/>
    <m/>
    <x v="0"/>
    <m/>
    <m/>
    <m/>
    <m/>
    <m/>
    <m/>
    <m/>
    <m/>
    <x v="0"/>
    <m/>
    <m/>
  </r>
  <r>
    <s v="2.6.3"/>
    <m/>
    <s v="業務フロー（WMS/CMN）Rv反映"/>
    <x v="0"/>
    <m/>
    <x v="0"/>
    <m/>
    <m/>
    <m/>
    <m/>
    <m/>
    <m/>
    <m/>
    <m/>
    <x v="0"/>
    <m/>
    <m/>
  </r>
  <r>
    <s v="2.6.4"/>
    <m/>
    <s v="業務フロー（WMS/CMN）承認"/>
    <x v="0"/>
    <m/>
    <x v="0"/>
    <m/>
    <m/>
    <m/>
    <m/>
    <m/>
    <m/>
    <m/>
    <m/>
    <x v="0"/>
    <m/>
    <m/>
  </r>
  <r>
    <n v="2.7"/>
    <m/>
    <s v="機能一覧（WMS/CMN）"/>
    <x v="0"/>
    <m/>
    <x v="0"/>
    <m/>
    <m/>
    <m/>
    <m/>
    <m/>
    <m/>
    <m/>
    <m/>
    <x v="0"/>
    <m/>
    <m/>
  </r>
  <r>
    <s v="2.7.1"/>
    <m/>
    <s v="機能一覧（WMS/CMN）作成"/>
    <x v="0"/>
    <m/>
    <x v="0"/>
    <m/>
    <m/>
    <m/>
    <m/>
    <m/>
    <m/>
    <m/>
    <m/>
    <x v="0"/>
    <m/>
    <m/>
  </r>
  <r>
    <s v="2.7.2"/>
    <m/>
    <s v="機能一覧（WMS/CMN）Rv"/>
    <x v="0"/>
    <m/>
    <x v="0"/>
    <m/>
    <m/>
    <m/>
    <m/>
    <m/>
    <m/>
    <m/>
    <m/>
    <x v="0"/>
    <m/>
    <m/>
  </r>
  <r>
    <s v="2.7.3"/>
    <m/>
    <s v="機能一覧（WMS/CMN）Rv反映"/>
    <x v="0"/>
    <m/>
    <x v="0"/>
    <m/>
    <m/>
    <m/>
    <m/>
    <m/>
    <m/>
    <m/>
    <m/>
    <x v="0"/>
    <m/>
    <m/>
  </r>
  <r>
    <s v="2.7.4"/>
    <m/>
    <s v="機能一覧（WMS/CMN）承認"/>
    <x v="0"/>
    <m/>
    <x v="0"/>
    <m/>
    <m/>
    <m/>
    <m/>
    <m/>
    <m/>
    <m/>
    <m/>
    <x v="0"/>
    <m/>
    <m/>
  </r>
  <r>
    <n v="2.8"/>
    <m/>
    <s v="UI標準"/>
    <x v="0"/>
    <m/>
    <x v="0"/>
    <m/>
    <m/>
    <m/>
    <m/>
    <m/>
    <m/>
    <m/>
    <m/>
    <x v="0"/>
    <m/>
    <m/>
  </r>
  <r>
    <s v="2.8.1"/>
    <m/>
    <s v="UI標準作成"/>
    <x v="0"/>
    <m/>
    <x v="0"/>
    <m/>
    <m/>
    <m/>
    <m/>
    <m/>
    <m/>
    <m/>
    <m/>
    <x v="0"/>
    <m/>
    <m/>
  </r>
  <r>
    <s v="2.8.2"/>
    <m/>
    <s v="UI標準Rv"/>
    <x v="0"/>
    <m/>
    <x v="0"/>
    <m/>
    <m/>
    <m/>
    <m/>
    <m/>
    <m/>
    <m/>
    <m/>
    <x v="0"/>
    <m/>
    <m/>
  </r>
  <r>
    <s v="2.8.3"/>
    <m/>
    <s v="UI標準Rv反映"/>
    <x v="0"/>
    <m/>
    <x v="0"/>
    <m/>
    <m/>
    <m/>
    <m/>
    <m/>
    <m/>
    <m/>
    <m/>
    <x v="0"/>
    <m/>
    <m/>
  </r>
  <r>
    <s v="2.8.4"/>
    <m/>
    <s v="UI標準承認"/>
    <x v="0"/>
    <m/>
    <x v="0"/>
    <m/>
    <m/>
    <m/>
    <m/>
    <m/>
    <m/>
    <m/>
    <m/>
    <x v="0"/>
    <m/>
    <m/>
  </r>
  <r>
    <n v="2.9"/>
    <m/>
    <s v="画面定義書（WMS/CMN）"/>
    <x v="0"/>
    <m/>
    <x v="0"/>
    <m/>
    <m/>
    <m/>
    <m/>
    <m/>
    <m/>
    <m/>
    <m/>
    <x v="0"/>
    <m/>
    <m/>
  </r>
  <r>
    <s v="2.10"/>
    <m/>
    <s v="帳票定義書（WMS/CMN）"/>
    <x v="0"/>
    <m/>
    <x v="0"/>
    <m/>
    <m/>
    <m/>
    <m/>
    <m/>
    <m/>
    <m/>
    <m/>
    <x v="0"/>
    <m/>
    <m/>
  </r>
  <r>
    <n v="2.11"/>
    <m/>
    <s v="画面一覧（WMS/CMN）"/>
    <x v="0"/>
    <m/>
    <x v="0"/>
    <m/>
    <m/>
    <m/>
    <m/>
    <m/>
    <m/>
    <m/>
    <m/>
    <x v="0"/>
    <m/>
    <m/>
  </r>
  <r>
    <s v="2.11.1"/>
    <m/>
    <s v="画面一覧（WMS/CMN）作成"/>
    <x v="0"/>
    <m/>
    <x v="0"/>
    <m/>
    <m/>
    <m/>
    <m/>
    <m/>
    <m/>
    <m/>
    <m/>
    <x v="0"/>
    <m/>
    <m/>
  </r>
  <r>
    <s v="2.11.2"/>
    <m/>
    <s v="画面一覧（WMS/CMN）Rv"/>
    <x v="0"/>
    <m/>
    <x v="0"/>
    <m/>
    <m/>
    <m/>
    <m/>
    <m/>
    <m/>
    <m/>
    <m/>
    <x v="0"/>
    <m/>
    <m/>
  </r>
  <r>
    <s v="2.11.3"/>
    <m/>
    <s v="画面一覧（WMS/CMN）Rv反映"/>
    <x v="0"/>
    <m/>
    <x v="0"/>
    <m/>
    <m/>
    <m/>
    <m/>
    <m/>
    <m/>
    <m/>
    <m/>
    <x v="0"/>
    <m/>
    <m/>
  </r>
  <r>
    <s v="2.11.4"/>
    <m/>
    <s v="画面一覧（WMS/CMN）承認"/>
    <x v="0"/>
    <m/>
    <x v="0"/>
    <m/>
    <m/>
    <m/>
    <m/>
    <m/>
    <m/>
    <m/>
    <m/>
    <x v="0"/>
    <m/>
    <m/>
  </r>
  <r>
    <s v="2.12"/>
    <m/>
    <s v="帳票一覧（WMS/CMN）"/>
    <x v="0"/>
    <m/>
    <x v="0"/>
    <m/>
    <m/>
    <m/>
    <m/>
    <m/>
    <m/>
    <m/>
    <m/>
    <x v="0"/>
    <m/>
    <m/>
  </r>
  <r>
    <s v="2.12.1"/>
    <m/>
    <s v="帳票一覧（WMS/CMN）作成"/>
    <x v="0"/>
    <m/>
    <x v="0"/>
    <m/>
    <m/>
    <m/>
    <m/>
    <m/>
    <m/>
    <m/>
    <m/>
    <x v="0"/>
    <m/>
    <m/>
  </r>
  <r>
    <s v="2.12.2"/>
    <m/>
    <s v="帳票一覧（WMS/CMN）Rv"/>
    <x v="0"/>
    <m/>
    <x v="0"/>
    <m/>
    <m/>
    <m/>
    <m/>
    <m/>
    <m/>
    <m/>
    <m/>
    <x v="0"/>
    <m/>
    <m/>
  </r>
  <r>
    <s v="2.12.3"/>
    <m/>
    <s v="帳票一覧（WMS/CMN）Rv反映"/>
    <x v="0"/>
    <m/>
    <x v="0"/>
    <m/>
    <m/>
    <m/>
    <m/>
    <m/>
    <m/>
    <m/>
    <m/>
    <x v="0"/>
    <m/>
    <m/>
  </r>
  <r>
    <s v="2.12.4"/>
    <m/>
    <s v="帳票一覧（WMS/CMN）承認"/>
    <x v="0"/>
    <m/>
    <x v="0"/>
    <m/>
    <m/>
    <m/>
    <m/>
    <m/>
    <m/>
    <m/>
    <m/>
    <x v="0"/>
    <m/>
    <m/>
  </r>
  <r>
    <s v="2.23"/>
    <m/>
    <s v="画面遷移図（WMS/CMN）"/>
    <x v="0"/>
    <m/>
    <x v="0"/>
    <m/>
    <m/>
    <m/>
    <m/>
    <m/>
    <m/>
    <m/>
    <m/>
    <x v="0"/>
    <m/>
    <m/>
  </r>
  <r>
    <s v="2.23.1"/>
    <m/>
    <s v="画面遷移図（WMS/CMN）作成"/>
    <x v="0"/>
    <m/>
    <x v="0"/>
    <m/>
    <m/>
    <m/>
    <m/>
    <m/>
    <m/>
    <m/>
    <m/>
    <x v="0"/>
    <m/>
    <m/>
  </r>
  <r>
    <s v="2.23.2"/>
    <m/>
    <s v="画面遷移図（WMS/CMN）Rv"/>
    <x v="0"/>
    <m/>
    <x v="0"/>
    <m/>
    <m/>
    <m/>
    <m/>
    <m/>
    <m/>
    <m/>
    <m/>
    <x v="0"/>
    <m/>
    <m/>
  </r>
  <r>
    <s v="2.23.3"/>
    <m/>
    <s v="画面遷移図（WMS/CMN）Rv反映"/>
    <x v="0"/>
    <m/>
    <x v="0"/>
    <m/>
    <m/>
    <m/>
    <m/>
    <m/>
    <m/>
    <m/>
    <m/>
    <x v="0"/>
    <m/>
    <m/>
  </r>
  <r>
    <s v="2.23.4"/>
    <m/>
    <s v="画面遷移図（WMS/CMN）承認"/>
    <x v="0"/>
    <m/>
    <x v="0"/>
    <m/>
    <m/>
    <m/>
    <m/>
    <m/>
    <m/>
    <m/>
    <m/>
    <x v="0"/>
    <m/>
    <m/>
  </r>
  <r>
    <s v="2.14"/>
    <m/>
    <s v="ER図（WMS/CMN）"/>
    <x v="0"/>
    <m/>
    <x v="0"/>
    <m/>
    <m/>
    <m/>
    <m/>
    <m/>
    <m/>
    <m/>
    <m/>
    <x v="0"/>
    <m/>
    <m/>
  </r>
  <r>
    <s v="2.14.1"/>
    <m/>
    <s v="ER図（WMS/CMN）作成"/>
    <x v="0"/>
    <m/>
    <x v="0"/>
    <m/>
    <m/>
    <m/>
    <m/>
    <m/>
    <m/>
    <m/>
    <m/>
    <x v="0"/>
    <m/>
    <m/>
  </r>
  <r>
    <s v="2.14.2"/>
    <m/>
    <s v="ER図（WMS/CMN）Rv"/>
    <x v="0"/>
    <m/>
    <x v="0"/>
    <m/>
    <m/>
    <m/>
    <m/>
    <m/>
    <m/>
    <m/>
    <m/>
    <x v="0"/>
    <m/>
    <m/>
  </r>
  <r>
    <s v="2.14.3"/>
    <m/>
    <s v="ER図（WMS/CMN）Rv反映"/>
    <x v="0"/>
    <m/>
    <x v="0"/>
    <m/>
    <m/>
    <m/>
    <m/>
    <m/>
    <m/>
    <m/>
    <m/>
    <x v="0"/>
    <m/>
    <m/>
  </r>
  <r>
    <s v="2.14.4"/>
    <m/>
    <s v="ER図（WMS/CMN）承認"/>
    <x v="0"/>
    <m/>
    <x v="0"/>
    <m/>
    <m/>
    <m/>
    <m/>
    <m/>
    <m/>
    <m/>
    <m/>
    <x v="0"/>
    <m/>
    <m/>
  </r>
  <r>
    <s v="2.15"/>
    <m/>
    <s v="エンティティ定義書（WMS/CMN）"/>
    <x v="0"/>
    <m/>
    <x v="0"/>
    <m/>
    <m/>
    <m/>
    <m/>
    <m/>
    <m/>
    <m/>
    <m/>
    <x v="0"/>
    <m/>
    <m/>
  </r>
  <r>
    <s v="2.15.1"/>
    <m/>
    <s v="エンティティ定義書（WMS/CMN）作成"/>
    <x v="0"/>
    <m/>
    <x v="0"/>
    <m/>
    <m/>
    <m/>
    <m/>
    <m/>
    <m/>
    <m/>
    <m/>
    <x v="0"/>
    <m/>
    <m/>
  </r>
  <r>
    <s v="2.15.2"/>
    <m/>
    <s v="エンティティ定義書（WMS/CMN）Rv"/>
    <x v="0"/>
    <m/>
    <x v="0"/>
    <m/>
    <m/>
    <m/>
    <m/>
    <m/>
    <m/>
    <m/>
    <m/>
    <x v="0"/>
    <m/>
    <m/>
  </r>
  <r>
    <s v="2.15.3"/>
    <m/>
    <s v="エンティティ定義書（WMS/CMN）Rv反映"/>
    <x v="0"/>
    <m/>
    <x v="0"/>
    <m/>
    <m/>
    <m/>
    <m/>
    <m/>
    <m/>
    <m/>
    <m/>
    <x v="0"/>
    <m/>
    <m/>
  </r>
  <r>
    <s v="2.15.4"/>
    <m/>
    <s v="エンティティ定義書（WMS/CMN）承認"/>
    <x v="0"/>
    <m/>
    <x v="0"/>
    <m/>
    <m/>
    <m/>
    <m/>
    <m/>
    <m/>
    <m/>
    <m/>
    <x v="0"/>
    <m/>
    <m/>
  </r>
  <r>
    <s v="2.16"/>
    <m/>
    <s v="エンティティ一覧（WMS/CMN）"/>
    <x v="0"/>
    <m/>
    <x v="0"/>
    <m/>
    <m/>
    <m/>
    <m/>
    <m/>
    <m/>
    <m/>
    <m/>
    <x v="0"/>
    <m/>
    <m/>
  </r>
  <r>
    <s v="2.16.1"/>
    <m/>
    <s v="エンティティ一覧（WMS/CMN）作成"/>
    <x v="0"/>
    <m/>
    <x v="0"/>
    <m/>
    <m/>
    <m/>
    <m/>
    <m/>
    <m/>
    <m/>
    <m/>
    <x v="0"/>
    <m/>
    <m/>
  </r>
  <r>
    <s v="2.16.2"/>
    <m/>
    <s v="エンティティ一覧（WMS/CMN）Rv"/>
    <x v="0"/>
    <m/>
    <x v="0"/>
    <m/>
    <m/>
    <m/>
    <m/>
    <m/>
    <m/>
    <m/>
    <m/>
    <x v="0"/>
    <m/>
    <m/>
  </r>
  <r>
    <s v="2.16.3"/>
    <m/>
    <s v="エンティティ一覧（WMS/CMN）Rv反映"/>
    <x v="0"/>
    <m/>
    <x v="0"/>
    <m/>
    <m/>
    <m/>
    <m/>
    <m/>
    <m/>
    <m/>
    <m/>
    <x v="0"/>
    <m/>
    <m/>
  </r>
  <r>
    <s v="2.16.4"/>
    <m/>
    <s v="エンティティ一覧（WMS/CMN）承認"/>
    <x v="0"/>
    <m/>
    <x v="0"/>
    <m/>
    <m/>
    <m/>
    <m/>
    <m/>
    <m/>
    <m/>
    <m/>
    <x v="0"/>
    <m/>
    <m/>
  </r>
  <r>
    <s v="2.17"/>
    <m/>
    <s v="命名規則/辞書"/>
    <x v="0"/>
    <m/>
    <x v="0"/>
    <m/>
    <m/>
    <m/>
    <m/>
    <m/>
    <m/>
    <m/>
    <m/>
    <x v="0"/>
    <m/>
    <m/>
  </r>
  <r>
    <s v="2.17.1"/>
    <m/>
    <s v="命名規則/辞書作成"/>
    <x v="0"/>
    <m/>
    <x v="0"/>
    <m/>
    <m/>
    <m/>
    <m/>
    <m/>
    <m/>
    <m/>
    <m/>
    <x v="0"/>
    <m/>
    <m/>
  </r>
  <r>
    <s v="2.17.2"/>
    <m/>
    <s v="命名規則/辞書Rv"/>
    <x v="0"/>
    <m/>
    <x v="0"/>
    <m/>
    <m/>
    <m/>
    <m/>
    <m/>
    <m/>
    <m/>
    <m/>
    <x v="0"/>
    <m/>
    <m/>
  </r>
  <r>
    <s v="2.17.3"/>
    <m/>
    <s v="命名規則/辞書Rv反映"/>
    <x v="0"/>
    <m/>
    <x v="0"/>
    <m/>
    <m/>
    <m/>
    <m/>
    <m/>
    <m/>
    <m/>
    <m/>
    <x v="0"/>
    <m/>
    <m/>
  </r>
  <r>
    <s v="2.17.4"/>
    <m/>
    <s v="命名規則/辞書承認"/>
    <x v="0"/>
    <m/>
    <x v="0"/>
    <m/>
    <m/>
    <m/>
    <m/>
    <m/>
    <m/>
    <m/>
    <m/>
    <x v="0"/>
    <m/>
    <m/>
  </r>
  <r>
    <s v="2.18"/>
    <m/>
    <s v="外部インターフェース一覧"/>
    <x v="0"/>
    <m/>
    <x v="0"/>
    <m/>
    <m/>
    <m/>
    <m/>
    <m/>
    <m/>
    <m/>
    <m/>
    <x v="0"/>
    <m/>
    <m/>
  </r>
  <r>
    <s v="2.18.1"/>
    <m/>
    <s v="外部インターフェース一覧作成"/>
    <x v="0"/>
    <m/>
    <x v="0"/>
    <m/>
    <m/>
    <m/>
    <m/>
    <m/>
    <m/>
    <m/>
    <m/>
    <x v="0"/>
    <m/>
    <m/>
  </r>
  <r>
    <s v="2.18.2"/>
    <m/>
    <s v="外部インターフェース一覧Rv"/>
    <x v="0"/>
    <m/>
    <x v="0"/>
    <m/>
    <m/>
    <m/>
    <m/>
    <m/>
    <m/>
    <m/>
    <m/>
    <x v="0"/>
    <m/>
    <m/>
  </r>
  <r>
    <s v="2.18.3"/>
    <m/>
    <s v="外部インターフェース一覧Rv反映"/>
    <x v="0"/>
    <m/>
    <x v="0"/>
    <m/>
    <m/>
    <m/>
    <m/>
    <m/>
    <m/>
    <m/>
    <m/>
    <x v="0"/>
    <m/>
    <m/>
  </r>
  <r>
    <s v="2.18.4"/>
    <m/>
    <s v="外部インターフェース一覧承認"/>
    <x v="0"/>
    <m/>
    <x v="0"/>
    <m/>
    <m/>
    <m/>
    <m/>
    <m/>
    <m/>
    <m/>
    <m/>
    <x v="0"/>
    <m/>
    <m/>
  </r>
  <r>
    <s v="2.19"/>
    <m/>
    <s v="開発パッケージ構成ポリシー"/>
    <x v="0"/>
    <m/>
    <x v="0"/>
    <m/>
    <m/>
    <m/>
    <m/>
    <m/>
    <m/>
    <m/>
    <m/>
    <x v="0"/>
    <m/>
    <m/>
  </r>
  <r>
    <s v="2.19.1"/>
    <m/>
    <s v="開発パッケージ構成ポリシー作成"/>
    <x v="0"/>
    <m/>
    <x v="0"/>
    <m/>
    <m/>
    <m/>
    <m/>
    <m/>
    <m/>
    <m/>
    <m/>
    <x v="0"/>
    <m/>
    <m/>
  </r>
  <r>
    <s v="2.19.2"/>
    <m/>
    <s v="開発パッケージ構成ポリシーRv"/>
    <x v="0"/>
    <m/>
    <x v="0"/>
    <m/>
    <m/>
    <m/>
    <m/>
    <m/>
    <m/>
    <m/>
    <m/>
    <x v="0"/>
    <m/>
    <m/>
  </r>
  <r>
    <s v="2.19.3"/>
    <m/>
    <s v="開発パッケージ構成ポリシーRv反映"/>
    <x v="0"/>
    <m/>
    <x v="0"/>
    <m/>
    <m/>
    <m/>
    <m/>
    <m/>
    <m/>
    <m/>
    <m/>
    <x v="0"/>
    <m/>
    <m/>
  </r>
  <r>
    <s v="2.19.4"/>
    <m/>
    <s v="開発パッケージ構成ポリシー承認"/>
    <x v="0"/>
    <m/>
    <x v="0"/>
    <m/>
    <m/>
    <m/>
    <m/>
    <m/>
    <m/>
    <m/>
    <m/>
    <x v="0"/>
    <m/>
    <m/>
  </r>
  <r>
    <s v="2.20"/>
    <m/>
    <s v="コーディング規約"/>
    <x v="0"/>
    <m/>
    <x v="0"/>
    <m/>
    <m/>
    <m/>
    <m/>
    <m/>
    <m/>
    <m/>
    <m/>
    <x v="0"/>
    <m/>
    <m/>
  </r>
  <r>
    <s v="2.20.1"/>
    <m/>
    <s v="コーディング規約作成"/>
    <x v="0"/>
    <m/>
    <x v="0"/>
    <m/>
    <m/>
    <m/>
    <m/>
    <m/>
    <m/>
    <m/>
    <m/>
    <x v="0"/>
    <m/>
    <m/>
  </r>
  <r>
    <s v="2.20.2"/>
    <m/>
    <s v="コーディング規約Rv"/>
    <x v="0"/>
    <m/>
    <x v="0"/>
    <m/>
    <m/>
    <m/>
    <m/>
    <m/>
    <m/>
    <m/>
    <m/>
    <x v="0"/>
    <m/>
    <m/>
  </r>
  <r>
    <s v="2.20.3"/>
    <m/>
    <s v="コーディング規約Rv反映"/>
    <x v="0"/>
    <m/>
    <x v="0"/>
    <m/>
    <m/>
    <m/>
    <m/>
    <m/>
    <m/>
    <m/>
    <m/>
    <x v="0"/>
    <m/>
    <m/>
  </r>
  <r>
    <s v="2.20.4"/>
    <m/>
    <s v="コーディング規約承認"/>
    <x v="0"/>
    <m/>
    <x v="0"/>
    <m/>
    <m/>
    <m/>
    <m/>
    <m/>
    <m/>
    <m/>
    <m/>
    <x v="0"/>
    <m/>
    <m/>
  </r>
  <r>
    <s v="2.21"/>
    <m/>
    <s v="UT 実施要領"/>
    <x v="0"/>
    <m/>
    <x v="0"/>
    <m/>
    <m/>
    <m/>
    <m/>
    <m/>
    <m/>
    <m/>
    <m/>
    <x v="0"/>
    <m/>
    <m/>
  </r>
  <r>
    <s v="2.21.1"/>
    <m/>
    <s v="UT 実施要領作成"/>
    <x v="0"/>
    <m/>
    <x v="0"/>
    <m/>
    <m/>
    <m/>
    <m/>
    <m/>
    <m/>
    <m/>
    <m/>
    <x v="0"/>
    <m/>
    <m/>
  </r>
  <r>
    <s v="2.21.2"/>
    <m/>
    <s v="UT 実施要領Rv"/>
    <x v="0"/>
    <m/>
    <x v="0"/>
    <m/>
    <m/>
    <m/>
    <m/>
    <m/>
    <m/>
    <m/>
    <m/>
    <x v="0"/>
    <m/>
    <m/>
  </r>
  <r>
    <s v="2.21.3"/>
    <m/>
    <s v="UT 実施要領Rv反映"/>
    <x v="0"/>
    <m/>
    <x v="0"/>
    <m/>
    <m/>
    <m/>
    <m/>
    <m/>
    <m/>
    <m/>
    <m/>
    <x v="0"/>
    <m/>
    <m/>
  </r>
  <r>
    <s v="2.21.4"/>
    <m/>
    <s v="UT 実施要領承認"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s v="3.1"/>
    <m/>
    <s v="メッセージ定義書（WMS/CMN）"/>
    <x v="0"/>
    <m/>
    <x v="0"/>
    <m/>
    <m/>
    <m/>
    <m/>
    <m/>
    <m/>
    <m/>
    <m/>
    <x v="0"/>
    <m/>
    <m/>
  </r>
  <r>
    <s v="3.2"/>
    <m/>
    <s v="オンライン設計書（WMS/CMN）"/>
    <x v="0"/>
    <m/>
    <x v="0"/>
    <m/>
    <m/>
    <m/>
    <m/>
    <m/>
    <m/>
    <m/>
    <m/>
    <x v="0"/>
    <m/>
    <m/>
  </r>
  <r>
    <s v="3.3"/>
    <m/>
    <s v="QP画面定義（WMS/CMN）"/>
    <x v="0"/>
    <m/>
    <x v="0"/>
    <m/>
    <m/>
    <m/>
    <m/>
    <m/>
    <m/>
    <m/>
    <m/>
    <x v="0"/>
    <m/>
    <m/>
  </r>
  <r>
    <s v="3.4"/>
    <m/>
    <s v="帳票設計書（WMS/CMN）"/>
    <x v="0"/>
    <m/>
    <x v="0"/>
    <m/>
    <m/>
    <m/>
    <m/>
    <m/>
    <m/>
    <m/>
    <m/>
    <x v="0"/>
    <m/>
    <m/>
  </r>
  <r>
    <s v="3.5"/>
    <m/>
    <s v="共通画面パーツ定義"/>
    <x v="0"/>
    <m/>
    <x v="0"/>
    <m/>
    <m/>
    <m/>
    <m/>
    <m/>
    <m/>
    <m/>
    <m/>
    <x v="0"/>
    <m/>
    <m/>
  </r>
  <r>
    <s v="3.6"/>
    <m/>
    <s v="共通プロセス設計書（WMS/CMN）"/>
    <x v="0"/>
    <m/>
    <x v="0"/>
    <m/>
    <m/>
    <m/>
    <m/>
    <m/>
    <m/>
    <m/>
    <m/>
    <x v="0"/>
    <m/>
    <m/>
  </r>
  <r>
    <s v="3.7"/>
    <m/>
    <s v="外部インターフェース定義書（WMS/CMN）"/>
    <x v="0"/>
    <m/>
    <x v="0"/>
    <m/>
    <m/>
    <m/>
    <m/>
    <m/>
    <m/>
    <m/>
    <m/>
    <x v="0"/>
    <m/>
    <m/>
  </r>
  <r>
    <s v="3.8"/>
    <m/>
    <s v="エンティティ定義書（WMS/CMN）_x000a_エンティティ一覧（WMS/CMN）"/>
    <x v="0"/>
    <m/>
    <x v="0"/>
    <m/>
    <m/>
    <m/>
    <m/>
    <m/>
    <m/>
    <m/>
    <m/>
    <x v="0"/>
    <m/>
    <m/>
  </r>
  <r>
    <s v="3.8.1"/>
    <m/>
    <s v="エンティティ定義書（WMS/CMN）_x000a_エンティティ一覧（WMS/CMN）作成"/>
    <x v="0"/>
    <m/>
    <x v="0"/>
    <m/>
    <m/>
    <m/>
    <m/>
    <m/>
    <m/>
    <m/>
    <m/>
    <x v="0"/>
    <m/>
    <m/>
  </r>
  <r>
    <s v="3.8.2"/>
    <m/>
    <s v="エンティティ定義書（WMS/CMN）_x000a_エンティティ一覧（WMS/CMN）Rv"/>
    <x v="0"/>
    <m/>
    <x v="0"/>
    <m/>
    <m/>
    <m/>
    <m/>
    <m/>
    <m/>
    <m/>
    <m/>
    <x v="0"/>
    <m/>
    <m/>
  </r>
  <r>
    <s v="3.8.3"/>
    <m/>
    <s v="エンティティ定義書（WMS/CMN）_x000a_エンティティ一覧（WMS/CMN）Rv反映"/>
    <x v="0"/>
    <m/>
    <x v="0"/>
    <m/>
    <m/>
    <m/>
    <m/>
    <m/>
    <m/>
    <m/>
    <m/>
    <x v="0"/>
    <m/>
    <m/>
  </r>
  <r>
    <s v="3.8.4"/>
    <m/>
    <s v="エンティティ定義書（WMS/CMN）_x000a_エンティティ一覧（WMS/CMN）承認"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s v="4.1"/>
    <m/>
    <s v="M&amp;UT(QP 100%)"/>
    <x v="0"/>
    <m/>
    <x v="0"/>
    <m/>
    <m/>
    <m/>
    <m/>
    <m/>
    <m/>
    <m/>
    <m/>
    <x v="0"/>
    <m/>
    <m/>
  </r>
  <r>
    <s v="4.1.1"/>
    <m/>
    <s v="ソースコード自動生成"/>
    <x v="0"/>
    <m/>
    <x v="0"/>
    <m/>
    <m/>
    <m/>
    <m/>
    <m/>
    <m/>
    <m/>
    <m/>
    <x v="0"/>
    <m/>
    <m/>
  </r>
  <r>
    <s v="4.1.2"/>
    <m/>
    <s v="画面系のソースコード作成"/>
    <x v="0"/>
    <m/>
    <x v="0"/>
    <m/>
    <m/>
    <m/>
    <m/>
    <m/>
    <m/>
    <m/>
    <m/>
    <x v="0"/>
    <m/>
    <m/>
  </r>
  <r>
    <s v="4.1.3"/>
    <m/>
    <s v="画面系のソースコードRv"/>
    <x v="0"/>
    <m/>
    <x v="0"/>
    <m/>
    <m/>
    <m/>
    <m/>
    <m/>
    <m/>
    <m/>
    <m/>
    <x v="0"/>
    <m/>
    <m/>
  </r>
  <r>
    <s v="4.1.4"/>
    <m/>
    <s v="画面系のソースコードRv反映"/>
    <x v="0"/>
    <m/>
    <x v="0"/>
    <m/>
    <m/>
    <m/>
    <m/>
    <m/>
    <m/>
    <m/>
    <m/>
    <x v="0"/>
    <m/>
    <m/>
  </r>
  <r>
    <s v="4.1.5"/>
    <m/>
    <s v="画面系の試験項目作成"/>
    <x v="0"/>
    <m/>
    <x v="0"/>
    <m/>
    <m/>
    <m/>
    <m/>
    <m/>
    <m/>
    <m/>
    <m/>
    <x v="0"/>
    <m/>
    <m/>
  </r>
  <r>
    <s v="4.1.6"/>
    <m/>
    <s v="画面系の試験項目Rv"/>
    <x v="0"/>
    <m/>
    <x v="0"/>
    <m/>
    <m/>
    <m/>
    <m/>
    <m/>
    <m/>
    <m/>
    <m/>
    <x v="0"/>
    <m/>
    <m/>
  </r>
  <r>
    <s v="4.1.7"/>
    <m/>
    <s v="画面系の試験項目Rv反映"/>
    <x v="0"/>
    <m/>
    <x v="0"/>
    <m/>
    <m/>
    <m/>
    <m/>
    <m/>
    <m/>
    <m/>
    <m/>
    <x v="0"/>
    <m/>
    <m/>
  </r>
  <r>
    <s v="4.1.8"/>
    <m/>
    <s v="画面系の試験項目実施"/>
    <x v="0"/>
    <m/>
    <x v="0"/>
    <m/>
    <m/>
    <m/>
    <m/>
    <m/>
    <m/>
    <m/>
    <m/>
    <x v="0"/>
    <m/>
    <m/>
  </r>
  <r>
    <s v="4.1.9"/>
    <m/>
    <s v="バグFix＋再試験"/>
    <x v="0"/>
    <m/>
    <x v="0"/>
    <m/>
    <m/>
    <m/>
    <m/>
    <m/>
    <m/>
    <m/>
    <m/>
    <x v="0"/>
    <m/>
    <m/>
  </r>
  <r>
    <s v="4.1.10"/>
    <m/>
    <s v="試験結果確認"/>
    <x v="0"/>
    <m/>
    <x v="0"/>
    <m/>
    <m/>
    <m/>
    <m/>
    <m/>
    <m/>
    <m/>
    <m/>
    <x v="0"/>
    <m/>
    <m/>
  </r>
  <r>
    <n v="4.2"/>
    <m/>
    <s v="M&amp;UT(QP XX%)"/>
    <x v="0"/>
    <m/>
    <x v="0"/>
    <m/>
    <m/>
    <m/>
    <m/>
    <m/>
    <m/>
    <m/>
    <m/>
    <x v="0"/>
    <m/>
    <m/>
  </r>
  <r>
    <s v="4.2.1"/>
    <m/>
    <s v="QPモジュール修正"/>
    <x v="0"/>
    <m/>
    <x v="0"/>
    <m/>
    <m/>
    <m/>
    <m/>
    <m/>
    <m/>
    <m/>
    <m/>
    <x v="0"/>
    <m/>
    <m/>
  </r>
  <r>
    <s v="4.2.2"/>
    <m/>
    <s v="QPモジュールRv"/>
    <x v="0"/>
    <m/>
    <x v="0"/>
    <m/>
    <m/>
    <m/>
    <m/>
    <m/>
    <m/>
    <m/>
    <m/>
    <x v="0"/>
    <m/>
    <m/>
  </r>
  <r>
    <s v="4.2.3"/>
    <m/>
    <s v="QPモジュールRv反映"/>
    <x v="0"/>
    <m/>
    <x v="0"/>
    <m/>
    <m/>
    <m/>
    <m/>
    <m/>
    <m/>
    <m/>
    <m/>
    <x v="0"/>
    <m/>
    <m/>
  </r>
  <r>
    <s v="4.2.4"/>
    <m/>
    <s v="ソースコード自動生成"/>
    <x v="0"/>
    <m/>
    <x v="0"/>
    <m/>
    <m/>
    <m/>
    <m/>
    <m/>
    <m/>
    <m/>
    <m/>
    <x v="0"/>
    <m/>
    <m/>
  </r>
  <r>
    <s v="4.2.5"/>
    <m/>
    <s v="ソースコード修正"/>
    <x v="0"/>
    <m/>
    <x v="0"/>
    <m/>
    <m/>
    <m/>
    <m/>
    <m/>
    <m/>
    <m/>
    <m/>
    <x v="0"/>
    <m/>
    <m/>
  </r>
  <r>
    <s v="4.2.6"/>
    <m/>
    <s v="ソースコード修正Rv"/>
    <x v="0"/>
    <m/>
    <x v="0"/>
    <m/>
    <m/>
    <m/>
    <m/>
    <m/>
    <m/>
    <m/>
    <m/>
    <x v="0"/>
    <m/>
    <m/>
  </r>
  <r>
    <s v="4.2.7"/>
    <m/>
    <s v="ソースコードRv反映"/>
    <x v="0"/>
    <m/>
    <x v="0"/>
    <m/>
    <m/>
    <m/>
    <m/>
    <m/>
    <m/>
    <m/>
    <m/>
    <x v="0"/>
    <m/>
    <m/>
  </r>
  <r>
    <s v="4.2.8"/>
    <m/>
    <s v="試験項目作成（画面とロジック）"/>
    <x v="0"/>
    <m/>
    <x v="0"/>
    <m/>
    <m/>
    <m/>
    <m/>
    <m/>
    <m/>
    <m/>
    <m/>
    <x v="0"/>
    <m/>
    <m/>
  </r>
  <r>
    <s v="4.2.9"/>
    <m/>
    <s v="試験項目作成（画面とロジック）Rv"/>
    <x v="0"/>
    <m/>
    <x v="0"/>
    <m/>
    <m/>
    <m/>
    <m/>
    <m/>
    <m/>
    <m/>
    <m/>
    <x v="0"/>
    <m/>
    <m/>
  </r>
  <r>
    <s v="4.2.10"/>
    <m/>
    <s v="試験項目作成（画面とロジック）Rv反映"/>
    <x v="0"/>
    <m/>
    <x v="0"/>
    <m/>
    <m/>
    <m/>
    <m/>
    <m/>
    <m/>
    <m/>
    <m/>
    <x v="0"/>
    <m/>
    <m/>
  </r>
  <r>
    <s v="4.2.11"/>
    <m/>
    <s v="Junit テストコード作成"/>
    <x v="0"/>
    <m/>
    <x v="0"/>
    <m/>
    <m/>
    <m/>
    <m/>
    <m/>
    <m/>
    <m/>
    <m/>
    <x v="0"/>
    <m/>
    <m/>
  </r>
  <r>
    <s v="4.2.12"/>
    <m/>
    <s v="Junit テストコードRv"/>
    <x v="0"/>
    <m/>
    <x v="0"/>
    <m/>
    <m/>
    <m/>
    <m/>
    <m/>
    <m/>
    <m/>
    <m/>
    <x v="0"/>
    <m/>
    <m/>
  </r>
  <r>
    <s v="4.2.13"/>
    <m/>
    <s v="Junit テストコードRv反映"/>
    <x v="0"/>
    <m/>
    <x v="0"/>
    <m/>
    <m/>
    <m/>
    <m/>
    <m/>
    <m/>
    <m/>
    <m/>
    <x v="0"/>
    <m/>
    <m/>
  </r>
  <r>
    <s v="4.2.14"/>
    <m/>
    <s v="Junit テストコード実施"/>
    <x v="0"/>
    <m/>
    <x v="0"/>
    <m/>
    <m/>
    <m/>
    <m/>
    <m/>
    <m/>
    <m/>
    <m/>
    <x v="0"/>
    <m/>
    <m/>
  </r>
  <r>
    <s v="4.2.15"/>
    <m/>
    <s v="バグFix"/>
    <x v="0"/>
    <m/>
    <x v="0"/>
    <m/>
    <m/>
    <m/>
    <m/>
    <m/>
    <m/>
    <m/>
    <m/>
    <x v="0"/>
    <m/>
    <m/>
  </r>
  <r>
    <s v="4.2.16"/>
    <m/>
    <s v="画面系の試験項目実施"/>
    <x v="0"/>
    <m/>
    <x v="0"/>
    <m/>
    <m/>
    <m/>
    <m/>
    <m/>
    <m/>
    <m/>
    <m/>
    <x v="0"/>
    <m/>
    <m/>
  </r>
  <r>
    <s v="4.2.17"/>
    <m/>
    <s v="バグFix＋再試験"/>
    <x v="0"/>
    <m/>
    <x v="0"/>
    <m/>
    <m/>
    <m/>
    <m/>
    <m/>
    <m/>
    <m/>
    <m/>
    <x v="0"/>
    <m/>
    <m/>
  </r>
  <r>
    <s v="4.2.18"/>
    <m/>
    <s v="試験結果確認"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  <r>
    <m/>
    <m/>
    <m/>
    <x v="0"/>
    <m/>
    <x v="0"/>
    <m/>
    <m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79:N302" firstHeaderRow="1" firstDataRow="2" firstDataCol="1"/>
  <pivotFields count="15">
    <pivotField showAll="0">
      <items count="266">
        <item x="1"/>
        <item x="4"/>
        <item x="7"/>
        <item x="13"/>
        <item x="16"/>
        <item x="21"/>
        <item x="126"/>
        <item x="168"/>
        <item x="131"/>
        <item x="136"/>
        <item x="141"/>
        <item x="146"/>
        <item x="151"/>
        <item x="156"/>
        <item x="161"/>
        <item x="166"/>
        <item x="246"/>
        <item x="2"/>
        <item x="3"/>
        <item x="5"/>
        <item x="6"/>
        <item x="8"/>
        <item x="9"/>
        <item x="10"/>
        <item x="11"/>
        <item x="12"/>
        <item x="14"/>
        <item x="15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77"/>
        <item x="80"/>
        <item x="81"/>
        <item x="82"/>
        <item x="83"/>
        <item x="78"/>
        <item x="79"/>
        <item x="84"/>
        <item x="87"/>
        <item x="88"/>
        <item x="85"/>
        <item x="86"/>
        <item x="89"/>
        <item x="92"/>
        <item x="93"/>
        <item x="90"/>
        <item x="91"/>
        <item x="94"/>
        <item x="95"/>
        <item x="96"/>
        <item x="97"/>
        <item x="98"/>
        <item x="100"/>
        <item x="101"/>
        <item x="102"/>
        <item x="103"/>
        <item x="99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7"/>
        <item x="60"/>
        <item x="54"/>
        <item x="55"/>
        <item x="56"/>
        <item x="58"/>
        <item x="59"/>
        <item x="61"/>
        <item x="64"/>
        <item x="65"/>
        <item x="62"/>
        <item x="63"/>
        <item x="66"/>
        <item x="67"/>
        <item x="68"/>
        <item x="69"/>
        <item x="72"/>
        <item x="73"/>
        <item x="74"/>
        <item x="75"/>
        <item x="76"/>
        <item x="70"/>
        <item x="71"/>
        <item x="127"/>
        <item x="128"/>
        <item x="129"/>
        <item x="130"/>
        <item x="167"/>
        <item x="169"/>
        <item x="170"/>
        <item x="171"/>
        <item x="172"/>
        <item x="173"/>
        <item x="174"/>
        <item x="175"/>
        <item x="176"/>
        <item x="177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132"/>
        <item x="133"/>
        <item x="134"/>
        <item x="135"/>
        <item x="213"/>
        <item x="214"/>
        <item x="215"/>
        <item x="216"/>
        <item x="217"/>
        <item x="218"/>
        <item x="219"/>
        <item x="220"/>
        <item x="221"/>
        <item x="222"/>
        <item x="178"/>
        <item x="179"/>
        <item x="180"/>
        <item x="181"/>
        <item x="182"/>
        <item x="137"/>
        <item x="138"/>
        <item x="139"/>
        <item x="140"/>
        <item x="142"/>
        <item x="143"/>
        <item x="144"/>
        <item x="145"/>
        <item x="147"/>
        <item x="148"/>
        <item x="149"/>
        <item x="150"/>
        <item x="152"/>
        <item x="153"/>
        <item x="154"/>
        <item x="155"/>
        <item x="157"/>
        <item x="158"/>
        <item x="159"/>
        <item x="160"/>
        <item x="162"/>
        <item x="163"/>
        <item x="164"/>
        <item x="165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45"/>
        <item x="237"/>
        <item x="238"/>
        <item x="239"/>
        <item x="240"/>
        <item x="241"/>
        <item x="242"/>
        <item x="243"/>
        <item x="244"/>
        <item x="247"/>
        <item x="256"/>
        <item x="257"/>
        <item x="258"/>
        <item x="259"/>
        <item x="260"/>
        <item x="261"/>
        <item x="262"/>
        <item x="263"/>
        <item x="264"/>
        <item x="248"/>
        <item x="249"/>
        <item x="250"/>
        <item x="251"/>
        <item x="252"/>
        <item x="253"/>
        <item x="254"/>
        <item x="255"/>
        <item x="0"/>
        <item t="default"/>
      </items>
    </pivotField>
    <pivotField showAll="0">
      <items count="2">
        <item x="0"/>
        <item t="default"/>
      </items>
    </pivotField>
    <pivotField axis="axisRow" showAll="0">
      <items count="222">
        <item x="93"/>
        <item x="94"/>
        <item x="97"/>
        <item x="98"/>
        <item x="96"/>
        <item x="95"/>
        <item x="72"/>
        <item x="68"/>
        <item x="82"/>
        <item x="75"/>
        <item x="35"/>
        <item x="79"/>
        <item x="190"/>
        <item x="78"/>
        <item x="148"/>
        <item x="149"/>
        <item x="147"/>
        <item x="150"/>
        <item x="192"/>
        <item x="193"/>
        <item x="191"/>
        <item x="194"/>
        <item x="217"/>
        <item x="218"/>
        <item x="216"/>
        <item x="219"/>
        <item x="21"/>
        <item x="23"/>
        <item x="22"/>
        <item x="24"/>
        <item x="25"/>
        <item x="27"/>
        <item x="28"/>
        <item x="26"/>
        <item x="29"/>
        <item x="30"/>
        <item x="32"/>
        <item x="33"/>
        <item x="31"/>
        <item x="34"/>
        <item x="195"/>
        <item x="206"/>
        <item x="74"/>
        <item x="58"/>
        <item x="39"/>
        <item x="100"/>
        <item x="208"/>
        <item x="209"/>
        <item x="207"/>
        <item x="185"/>
        <item x="61"/>
        <item x="52"/>
        <item x="91"/>
        <item x="86"/>
        <item x="48"/>
        <item x="38"/>
        <item x="57"/>
        <item x="67"/>
        <item x="45"/>
        <item x="81"/>
        <item x="69"/>
        <item x="76"/>
        <item x="59"/>
        <item x="131"/>
        <item x="132"/>
        <item x="130"/>
        <item x="133"/>
        <item x="178"/>
        <item x="180"/>
        <item x="181"/>
        <item x="179"/>
        <item x="182"/>
        <item x="49"/>
        <item x="119"/>
        <item x="120"/>
        <item x="118"/>
        <item x="121"/>
        <item x="156"/>
        <item x="158"/>
        <item x="159"/>
        <item x="157"/>
        <item x="160"/>
        <item x="151"/>
        <item x="83"/>
        <item x="153"/>
        <item x="154"/>
        <item x="152"/>
        <item x="155"/>
        <item x="80"/>
        <item x="184"/>
        <item x="173"/>
        <item x="175"/>
        <item x="176"/>
        <item x="174"/>
        <item x="177"/>
        <item x="46"/>
        <item x="115"/>
        <item x="116"/>
        <item x="114"/>
        <item x="117"/>
        <item x="212"/>
        <item x="210"/>
        <item x="211"/>
        <item x="196"/>
        <item x="7"/>
        <item x="12"/>
        <item x="8"/>
        <item x="10"/>
        <item x="9"/>
        <item x="11"/>
        <item x="90"/>
        <item x="47"/>
        <item x="37"/>
        <item x="220"/>
        <item x="204"/>
        <item x="40"/>
        <item x="107"/>
        <item x="108"/>
        <item x="106"/>
        <item x="109"/>
        <item x="36"/>
        <item x="103"/>
        <item x="104"/>
        <item x="102"/>
        <item x="105"/>
        <item x="1"/>
        <item x="3"/>
        <item x="2"/>
        <item x="183"/>
        <item x="56"/>
        <item x="66"/>
        <item x="50"/>
        <item x="51"/>
        <item x="65"/>
        <item x="71"/>
        <item x="63"/>
        <item x="188"/>
        <item x="187"/>
        <item x="99"/>
        <item x="84"/>
        <item x="162"/>
        <item x="163"/>
        <item x="161"/>
        <item x="164"/>
        <item x="92"/>
        <item x="87"/>
        <item x="166"/>
        <item x="167"/>
        <item x="165"/>
        <item x="168"/>
        <item x="189"/>
        <item x="42"/>
        <item x="4"/>
        <item x="6"/>
        <item x="5"/>
        <item x="77"/>
        <item x="139"/>
        <item x="140"/>
        <item x="138"/>
        <item x="141"/>
        <item x="70"/>
        <item x="186"/>
        <item x="13"/>
        <item x="15"/>
        <item x="14"/>
        <item x="89"/>
        <item x="53"/>
        <item x="123"/>
        <item x="124"/>
        <item x="122"/>
        <item x="125"/>
        <item x="54"/>
        <item x="127"/>
        <item x="128"/>
        <item x="126"/>
        <item x="129"/>
        <item x="55"/>
        <item x="73"/>
        <item x="135"/>
        <item x="136"/>
        <item x="134"/>
        <item x="137"/>
        <item x="62"/>
        <item x="198"/>
        <item x="199"/>
        <item x="197"/>
        <item x="201"/>
        <item x="202"/>
        <item x="200"/>
        <item x="203"/>
        <item x="142"/>
        <item x="144"/>
        <item x="145"/>
        <item x="143"/>
        <item x="146"/>
        <item x="16"/>
        <item x="18"/>
        <item x="19"/>
        <item x="17"/>
        <item x="20"/>
        <item x="85"/>
        <item x="43"/>
        <item x="205"/>
        <item x="213"/>
        <item x="214"/>
        <item x="215"/>
        <item x="60"/>
        <item x="44"/>
        <item x="64"/>
        <item x="101"/>
        <item x="88"/>
        <item x="170"/>
        <item x="171"/>
        <item x="169"/>
        <item x="172"/>
        <item x="41"/>
        <item x="111"/>
        <item x="112"/>
        <item x="110"/>
        <item x="113"/>
        <item x="0"/>
        <item t="default"/>
      </items>
    </pivotField>
    <pivotField showAll="0">
      <items count="11">
        <item x="8"/>
        <item x="3"/>
        <item x="5"/>
        <item x="9"/>
        <item x="1"/>
        <item x="2"/>
        <item x="7"/>
        <item x="4"/>
        <item x="6"/>
        <item x="0"/>
        <item t="default"/>
      </items>
    </pivotField>
    <pivotField showAll="0"/>
    <pivotField axis="axisCol" dataField="1" showAll="0">
      <items count="13">
        <item x="7"/>
        <item x="4"/>
        <item x="8"/>
        <item x="5"/>
        <item x="6"/>
        <item x="3"/>
        <item x="1"/>
        <item x="2"/>
        <item x="11"/>
        <item x="9"/>
        <item x="1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 t="grand">
      <x/>
    </i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End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68:C74" firstHeaderRow="0" firstDataRow="1" firstDataCol="1" rowPageCount="1" colPageCount="1"/>
  <pivotFields count="16">
    <pivotField showAll="0"/>
    <pivotField showAll="0"/>
    <pivotField showAll="0"/>
    <pivotField showAll="0"/>
    <pivotField showAll="0"/>
    <pivotField showAll="0"/>
    <pivotField axis="axisPage" showAll="0">
      <items count="13">
        <item x="7"/>
        <item x="4"/>
        <item x="8"/>
        <item x="5"/>
        <item x="6"/>
        <item x="3"/>
        <item x="1"/>
        <item x="2"/>
        <item x="11"/>
        <item x="0"/>
        <item x="9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dataField="1" showAll="0">
      <items count="6">
        <item x="0"/>
        <item x="3"/>
        <item x="4"/>
        <item x="2"/>
        <item x="1"/>
        <item t="default"/>
      </items>
    </pivotField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Task" fld="15" subtotal="count" baseField="0" baseItem="0"/>
    <dataField name="Finish" fld="10" subtotal="count" baseField="0" baseItem="0"/>
  </dataFields>
  <formats count="1">
    <format dxfId="337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44:E53" firstHeaderRow="1" firstDataRow="3" firstDataCol="1" rowPageCount="1" colPageCount="1"/>
  <pivotFields count="17">
    <pivotField showAll="0" defaultSubtotal="0"/>
    <pivotField showAll="0"/>
    <pivotField showAll="0"/>
    <pivotField axis="axisRow" dataField="1" showAll="0">
      <items count="13">
        <item x="0"/>
        <item x="1"/>
        <item m="1" x="11"/>
        <item x="2"/>
        <item x="3"/>
        <item x="4"/>
        <item x="5"/>
        <item x="6"/>
        <item x="7"/>
        <item x="9"/>
        <item x="10"/>
        <item x="8"/>
        <item t="default"/>
      </items>
    </pivotField>
    <pivotField showAll="0"/>
    <pivotField axis="axisPage" multipleItemSelectionAllowed="1" showAll="0">
      <items count="15">
        <item x="11"/>
        <item x="5"/>
        <item x="12"/>
        <item x="9"/>
        <item x="10"/>
        <item x="3"/>
        <item x="1"/>
        <item x="2"/>
        <item x="6"/>
        <item x="0"/>
        <item x="7"/>
        <item x="4"/>
        <item x="8"/>
        <item x="13"/>
        <item t="default"/>
      </items>
    </pivotField>
    <pivotField showAll="0"/>
    <pivotField showAll="0"/>
    <pivotField showAll="0"/>
    <pivotField dataField="1" showAll="0"/>
    <pivotField showAll="0" defaultSubtotal="0"/>
    <pivotField showAll="0"/>
    <pivotField showAll="0"/>
    <pivotField showAll="0" defaultSubtotal="0"/>
    <pivotField axis="axisCol" showAll="0" defaultSubtotal="0">
      <items count="5">
        <item h="1" x="4"/>
        <item h="1" x="1"/>
        <item h="1" x="2"/>
        <item x="3"/>
        <item h="1" x="0"/>
      </items>
    </pivotField>
    <pivotField showAll="0" defaultSubtotal="0"/>
    <pivotField showAll="0" defaultSubtotal="0"/>
  </pivotFields>
  <rowFields count="1">
    <field x="3"/>
  </rowFields>
  <rowItems count="7">
    <i>
      <x v="1"/>
    </i>
    <i>
      <x v="3"/>
    </i>
    <i>
      <x v="5"/>
    </i>
    <i>
      <x v="6"/>
    </i>
    <i>
      <x v="8"/>
    </i>
    <i>
      <x v="9"/>
    </i>
    <i t="grand">
      <x/>
    </i>
  </rowItems>
  <colFields count="2">
    <field x="-2"/>
    <field x="14"/>
  </colFields>
  <colItems count="4">
    <i>
      <x/>
      <x v="3"/>
    </i>
    <i i="1">
      <x v="1"/>
      <x v="3"/>
    </i>
    <i t="grand">
      <x/>
    </i>
    <i t="grand" i="1">
      <x/>
    </i>
  </colItems>
  <pageFields count="1">
    <pageField fld="5" hier="-1"/>
  </pageFields>
  <dataFields count="2">
    <dataField name="Task" fld="3" subtotal="count" baseField="3" baseItem="0"/>
    <dataField name="Finish" fld="9" subtotal="count" baseField="0" baseItem="0"/>
  </dataFields>
  <formats count="5">
    <format dxfId="3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1">
      <pivotArea field="14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340">
      <pivotArea field="14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  <format dxfId="339">
      <pivotArea dataOnly="0" labelOnly="1" fieldPosition="0">
        <references count="2">
          <reference field="4294967294" count="1" selected="0">
            <x v="0"/>
          </reference>
          <reference field="14" count="0"/>
        </references>
      </pivotArea>
    </format>
    <format dxfId="338">
      <pivotArea dataOnly="0" labelOnly="1" fieldPosition="0">
        <references count="2">
          <reference field="4294967294" count="1" selected="0">
            <x v="1"/>
          </reference>
          <reference field="14" count="0"/>
        </references>
      </pivotArea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13" Type="http://schemas.openxmlformats.org/officeDocument/2006/relationships/printerSettings" Target="../printerSettings/printerSettings10.bin"/><Relationship Id="rId18" Type="http://schemas.openxmlformats.org/officeDocument/2006/relationships/printerSettings" Target="../printerSettings/printerSettings15.bin"/><Relationship Id="rId26" Type="http://schemas.openxmlformats.org/officeDocument/2006/relationships/printerSettings" Target="../printerSettings/printerSettings23.bin"/><Relationship Id="rId3" Type="http://schemas.openxmlformats.org/officeDocument/2006/relationships/pivotTable" Target="../pivotTables/pivotTable3.xml"/><Relationship Id="rId21" Type="http://schemas.openxmlformats.org/officeDocument/2006/relationships/printerSettings" Target="../printerSettings/printerSettings18.bin"/><Relationship Id="rId7" Type="http://schemas.openxmlformats.org/officeDocument/2006/relationships/printerSettings" Target="../printerSettings/printerSettings4.bin"/><Relationship Id="rId12" Type="http://schemas.openxmlformats.org/officeDocument/2006/relationships/printerSettings" Target="../printerSettings/printerSettings9.bin"/><Relationship Id="rId17" Type="http://schemas.openxmlformats.org/officeDocument/2006/relationships/printerSettings" Target="../printerSettings/printerSettings14.bin"/><Relationship Id="rId25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13.bin"/><Relationship Id="rId20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11" Type="http://schemas.openxmlformats.org/officeDocument/2006/relationships/printerSettings" Target="../printerSettings/printerSettings8.bin"/><Relationship Id="rId24" Type="http://schemas.openxmlformats.org/officeDocument/2006/relationships/printerSettings" Target="../printerSettings/printerSettings21.bin"/><Relationship Id="rId5" Type="http://schemas.openxmlformats.org/officeDocument/2006/relationships/printerSettings" Target="../printerSettings/printerSettings2.bin"/><Relationship Id="rId15" Type="http://schemas.openxmlformats.org/officeDocument/2006/relationships/printerSettings" Target="../printerSettings/printerSettings12.bin"/><Relationship Id="rId23" Type="http://schemas.openxmlformats.org/officeDocument/2006/relationships/printerSettings" Target="../printerSettings/printerSettings20.bin"/><Relationship Id="rId10" Type="http://schemas.openxmlformats.org/officeDocument/2006/relationships/printerSettings" Target="../printerSettings/printerSettings7.bin"/><Relationship Id="rId19" Type="http://schemas.openxmlformats.org/officeDocument/2006/relationships/printerSettings" Target="../printerSettings/printerSettings16.bin"/><Relationship Id="rId4" Type="http://schemas.openxmlformats.org/officeDocument/2006/relationships/printerSettings" Target="../printerSettings/printerSettings1.bin"/><Relationship Id="rId9" Type="http://schemas.openxmlformats.org/officeDocument/2006/relationships/printerSettings" Target="../printerSettings/printerSettings6.bin"/><Relationship Id="rId14" Type="http://schemas.openxmlformats.org/officeDocument/2006/relationships/printerSettings" Target="../printerSettings/printerSettings11.bin"/><Relationship Id="rId22" Type="http://schemas.openxmlformats.org/officeDocument/2006/relationships/printerSettings" Target="../printerSettings/printerSettings19.bin"/><Relationship Id="rId27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.bin"/><Relationship Id="rId13" Type="http://schemas.openxmlformats.org/officeDocument/2006/relationships/printerSettings" Target="../printerSettings/printerSettings36.bin"/><Relationship Id="rId1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30.bin"/><Relationship Id="rId12" Type="http://schemas.openxmlformats.org/officeDocument/2006/relationships/printerSettings" Target="../printerSettings/printerSettings35.bin"/><Relationship Id="rId1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25.bin"/><Relationship Id="rId16" Type="http://schemas.openxmlformats.org/officeDocument/2006/relationships/printerSettings" Target="../printerSettings/printerSettings39.bin"/><Relationship Id="rId20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24.bin"/><Relationship Id="rId6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34.bin"/><Relationship Id="rId5" Type="http://schemas.openxmlformats.org/officeDocument/2006/relationships/printerSettings" Target="../printerSettings/printerSettings28.bin"/><Relationship Id="rId15" Type="http://schemas.openxmlformats.org/officeDocument/2006/relationships/printerSettings" Target="../printerSettings/printerSettings38.bin"/><Relationship Id="rId23" Type="http://schemas.openxmlformats.org/officeDocument/2006/relationships/printerSettings" Target="../printerSettings/printerSettings46.bin"/><Relationship Id="rId10" Type="http://schemas.openxmlformats.org/officeDocument/2006/relationships/printerSettings" Target="../printerSettings/printerSettings33.bin"/><Relationship Id="rId19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27.bin"/><Relationship Id="rId9" Type="http://schemas.openxmlformats.org/officeDocument/2006/relationships/printerSettings" Target="../printerSettings/printerSettings32.bin"/><Relationship Id="rId14" Type="http://schemas.openxmlformats.org/officeDocument/2006/relationships/printerSettings" Target="../printerSettings/printerSettings37.bin"/><Relationship Id="rId22" Type="http://schemas.openxmlformats.org/officeDocument/2006/relationships/printerSettings" Target="../printerSettings/printerSettings45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18" Type="http://schemas.openxmlformats.org/officeDocument/2006/relationships/printerSettings" Target="../printerSettings/printerSettings64.bin"/><Relationship Id="rId3" Type="http://schemas.openxmlformats.org/officeDocument/2006/relationships/printerSettings" Target="../printerSettings/printerSettings49.bin"/><Relationship Id="rId21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17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20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56.bin"/><Relationship Id="rId19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Relationship Id="rId22" Type="http://schemas.openxmlformats.org/officeDocument/2006/relationships/printerSettings" Target="../printerSettings/printerSettings6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6.bin"/><Relationship Id="rId13" Type="http://schemas.openxmlformats.org/officeDocument/2006/relationships/printerSettings" Target="../printerSettings/printerSettings81.bin"/><Relationship Id="rId18" Type="http://schemas.openxmlformats.org/officeDocument/2006/relationships/printerSettings" Target="../printerSettings/printerSettings86.bin"/><Relationship Id="rId3" Type="http://schemas.openxmlformats.org/officeDocument/2006/relationships/printerSettings" Target="../printerSettings/printerSettings71.bin"/><Relationship Id="rId21" Type="http://schemas.openxmlformats.org/officeDocument/2006/relationships/printerSettings" Target="../printerSettings/printerSettings89.bin"/><Relationship Id="rId7" Type="http://schemas.openxmlformats.org/officeDocument/2006/relationships/printerSettings" Target="../printerSettings/printerSettings75.bin"/><Relationship Id="rId12" Type="http://schemas.openxmlformats.org/officeDocument/2006/relationships/printerSettings" Target="../printerSettings/printerSettings80.bin"/><Relationship Id="rId17" Type="http://schemas.openxmlformats.org/officeDocument/2006/relationships/printerSettings" Target="../printerSettings/printerSettings85.bin"/><Relationship Id="rId2" Type="http://schemas.openxmlformats.org/officeDocument/2006/relationships/printerSettings" Target="../printerSettings/printerSettings70.bin"/><Relationship Id="rId16" Type="http://schemas.openxmlformats.org/officeDocument/2006/relationships/printerSettings" Target="../printerSettings/printerSettings84.bin"/><Relationship Id="rId20" Type="http://schemas.openxmlformats.org/officeDocument/2006/relationships/printerSettings" Target="../printerSettings/printerSettings88.bin"/><Relationship Id="rId1" Type="http://schemas.openxmlformats.org/officeDocument/2006/relationships/printerSettings" Target="../printerSettings/printerSettings69.bin"/><Relationship Id="rId6" Type="http://schemas.openxmlformats.org/officeDocument/2006/relationships/printerSettings" Target="../printerSettings/printerSettings74.bin"/><Relationship Id="rId11" Type="http://schemas.openxmlformats.org/officeDocument/2006/relationships/printerSettings" Target="../printerSettings/printerSettings79.bin"/><Relationship Id="rId5" Type="http://schemas.openxmlformats.org/officeDocument/2006/relationships/printerSettings" Target="../printerSettings/printerSettings73.bin"/><Relationship Id="rId15" Type="http://schemas.openxmlformats.org/officeDocument/2006/relationships/printerSettings" Target="../printerSettings/printerSettings83.bin"/><Relationship Id="rId10" Type="http://schemas.openxmlformats.org/officeDocument/2006/relationships/printerSettings" Target="../printerSettings/printerSettings78.bin"/><Relationship Id="rId19" Type="http://schemas.openxmlformats.org/officeDocument/2006/relationships/printerSettings" Target="../printerSettings/printerSettings87.bin"/><Relationship Id="rId4" Type="http://schemas.openxmlformats.org/officeDocument/2006/relationships/printerSettings" Target="../printerSettings/printerSettings72.bin"/><Relationship Id="rId9" Type="http://schemas.openxmlformats.org/officeDocument/2006/relationships/printerSettings" Target="../printerSettings/printerSettings77.bin"/><Relationship Id="rId14" Type="http://schemas.openxmlformats.org/officeDocument/2006/relationships/printerSettings" Target="../printerSettings/printerSettings82.bin"/><Relationship Id="rId22" Type="http://schemas.openxmlformats.org/officeDocument/2006/relationships/printerSettings" Target="../printerSettings/printerSettings9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X302"/>
  <sheetViews>
    <sheetView topLeftCell="A25" workbookViewId="0">
      <selection activeCell="K62" sqref="K62"/>
    </sheetView>
  </sheetViews>
  <sheetFormatPr defaultRowHeight="15"/>
  <cols>
    <col min="1" max="1" width="13.140625" customWidth="1"/>
    <col min="2" max="2" width="16.28515625" customWidth="1"/>
    <col min="3" max="3" width="9.5703125" customWidth="1"/>
    <col min="4" max="4" width="9.7109375" customWidth="1"/>
    <col min="5" max="5" width="11.140625" customWidth="1"/>
    <col min="6" max="8" width="8.7109375" customWidth="1"/>
    <col min="9" max="12" width="9.7109375" customWidth="1"/>
    <col min="13" max="13" width="7.28515625" customWidth="1"/>
    <col min="14" max="14" width="11.28515625" customWidth="1"/>
    <col min="15" max="18" width="4" customWidth="1"/>
    <col min="19" max="36" width="5.140625" customWidth="1"/>
    <col min="37" max="37" width="3.5703125" customWidth="1"/>
    <col min="38" max="41" width="5.140625" customWidth="1"/>
    <col min="42" max="42" width="3.5703125" customWidth="1"/>
    <col min="43" max="46" width="5.140625" customWidth="1"/>
    <col min="47" max="47" width="3.5703125" customWidth="1"/>
    <col min="48" max="48" width="5.140625" customWidth="1"/>
    <col min="49" max="51" width="6.7109375" customWidth="1"/>
    <col min="52" max="52" width="6.140625" customWidth="1"/>
    <col min="53" max="56" width="8.7109375" customWidth="1"/>
    <col min="57" max="58" width="7.7109375" customWidth="1"/>
    <col min="59" max="59" width="6.140625" customWidth="1"/>
    <col min="60" max="61" width="8.7109375" customWidth="1"/>
    <col min="62" max="63" width="7.7109375" customWidth="1"/>
    <col min="64" max="64" width="6.140625" customWidth="1"/>
    <col min="65" max="66" width="8.7109375" customWidth="1"/>
    <col min="67" max="68" width="7.7109375" customWidth="1"/>
    <col min="69" max="69" width="6.140625" customWidth="1"/>
    <col min="70" max="77" width="7.7109375" customWidth="1"/>
    <col min="78" max="79" width="6.140625" customWidth="1"/>
    <col min="80" max="81" width="7.7109375" customWidth="1"/>
    <col min="82" max="82" width="6.140625" customWidth="1"/>
    <col min="83" max="86" width="7.7109375" customWidth="1"/>
    <col min="87" max="87" width="6.140625" customWidth="1"/>
    <col min="88" max="90" width="7.7109375" customWidth="1"/>
    <col min="91" max="91" width="6.140625" customWidth="1"/>
    <col min="92" max="100" width="7.7109375" customWidth="1"/>
    <col min="101" max="101" width="5.140625" customWidth="1"/>
    <col min="102" max="104" width="6.7109375" customWidth="1"/>
    <col min="105" max="105" width="5.140625" customWidth="1"/>
    <col min="106" max="110" width="6.7109375" customWidth="1"/>
    <col min="111" max="111" width="5.140625" customWidth="1"/>
    <col min="112" max="113" width="6.7109375" customWidth="1"/>
    <col min="114" max="115" width="5.140625" customWidth="1"/>
    <col min="116" max="116" width="7.7109375" customWidth="1"/>
    <col min="117" max="121" width="6.7109375" customWidth="1"/>
    <col min="122" max="122" width="5.140625" customWidth="1"/>
    <col min="123" max="124" width="7.7109375" customWidth="1"/>
    <col min="125" max="126" width="6.7109375" customWidth="1"/>
    <col min="127" max="127" width="5.140625" customWidth="1"/>
    <col min="128" max="129" width="6.7109375" customWidth="1"/>
    <col min="130" max="130" width="5.140625" customWidth="1"/>
    <col min="131" max="135" width="7.7109375" customWidth="1"/>
    <col min="136" max="137" width="6.7109375" customWidth="1"/>
    <col min="138" max="141" width="5.140625" customWidth="1"/>
    <col min="142" max="142" width="4.5703125" customWidth="1"/>
    <col min="143" max="146" width="6.140625" customWidth="1"/>
    <col min="147" max="147" width="4.5703125" customWidth="1"/>
    <col min="148" max="151" width="6.140625" customWidth="1"/>
    <col min="152" max="152" width="4.5703125" customWidth="1"/>
    <col min="153" max="156" width="6.140625" customWidth="1"/>
    <col min="157" max="157" width="4.5703125" customWidth="1"/>
    <col min="158" max="161" width="6.140625" customWidth="1"/>
    <col min="162" max="162" width="4.5703125" customWidth="1"/>
    <col min="163" max="166" width="6.140625" customWidth="1"/>
    <col min="167" max="167" width="4.5703125" customWidth="1"/>
    <col min="168" max="171" width="6.140625" customWidth="1"/>
    <col min="172" max="172" width="4.5703125" customWidth="1"/>
    <col min="173" max="176" width="6.140625" customWidth="1"/>
    <col min="177" max="177" width="4.5703125" customWidth="1"/>
    <col min="178" max="181" width="6.140625" customWidth="1"/>
    <col min="182" max="185" width="5.140625" customWidth="1"/>
    <col min="186" max="186" width="4.5703125" customWidth="1"/>
    <col min="187" max="190" width="6.140625" customWidth="1"/>
    <col min="191" max="191" width="4.5703125" customWidth="1"/>
    <col min="192" max="195" width="6.140625" customWidth="1"/>
    <col min="196" max="196" width="4.5703125" customWidth="1"/>
    <col min="197" max="200" width="6.140625" customWidth="1"/>
    <col min="201" max="224" width="5.140625" customWidth="1"/>
    <col min="225" max="232" width="3.5703125" customWidth="1"/>
    <col min="233" max="236" width="5.140625" customWidth="1"/>
    <col min="237" max="237" width="3.5703125" customWidth="1"/>
    <col min="238" max="238" width="5.140625" customWidth="1"/>
    <col min="239" max="239" width="6.140625" customWidth="1"/>
    <col min="240" max="248" width="5.140625" customWidth="1"/>
    <col min="249" max="257" width="6.140625" customWidth="1"/>
    <col min="258" max="265" width="5.140625" customWidth="1"/>
    <col min="266" max="266" width="7.28515625" customWidth="1"/>
    <col min="267" max="267" width="11.28515625" bestFit="1" customWidth="1"/>
  </cols>
  <sheetData>
    <row r="1" spans="1:128">
      <c r="A1" s="17"/>
      <c r="B1" s="50"/>
      <c r="C1" s="50"/>
      <c r="D1" s="50"/>
      <c r="E1" s="50"/>
      <c r="F1" s="49"/>
      <c r="K1" s="49"/>
      <c r="L1" s="50"/>
      <c r="Q1" s="49"/>
      <c r="S1" s="49"/>
      <c r="T1" s="50"/>
      <c r="V1" s="49"/>
      <c r="AA1" s="49"/>
      <c r="AC1" s="49"/>
      <c r="AD1" s="50"/>
      <c r="AE1" s="49"/>
      <c r="AF1" s="50"/>
      <c r="AG1" s="49"/>
      <c r="AH1" s="50"/>
      <c r="AN1" s="49"/>
      <c r="AP1" s="49"/>
      <c r="AR1" s="49"/>
      <c r="AU1" s="50"/>
      <c r="AX1" s="49"/>
      <c r="AY1" s="49"/>
      <c r="AZ1" s="50"/>
      <c r="BA1" s="49"/>
      <c r="BB1" s="50"/>
      <c r="BT1" s="49"/>
      <c r="BW1" s="50"/>
      <c r="BX1" s="49"/>
      <c r="BY1" s="50"/>
      <c r="BZ1" s="49"/>
      <c r="CA1" s="50"/>
      <c r="CM1" s="49"/>
      <c r="CN1" s="49"/>
      <c r="CO1" s="49"/>
      <c r="DC1" s="49"/>
      <c r="DF1" s="50"/>
      <c r="DX1" s="49"/>
    </row>
    <row r="2" spans="1:128" ht="36.75">
      <c r="A2" s="48"/>
      <c r="B2" s="47">
        <f>'Daily Track'!W2</f>
        <v>43108</v>
      </c>
      <c r="C2" s="6">
        <f>WORKDAY(B2,1,Holidays!$A$2:$A$17)</f>
        <v>43109</v>
      </c>
      <c r="D2" s="6">
        <f>WORKDAY(C2,1,Holidays!$A$2:$A$17)</f>
        <v>43110</v>
      </c>
      <c r="E2" s="6">
        <f>WORKDAY(D2,1,Holidays!$A$2:$A$17)</f>
        <v>43111</v>
      </c>
      <c r="F2" s="6">
        <f>WORKDAY(E2,1,Holidays!$A$2:$A$17)</f>
        <v>43112</v>
      </c>
      <c r="G2" s="6">
        <f>WORKDAY(F2,1,Holidays!$A$2:$A$17)</f>
        <v>43115</v>
      </c>
      <c r="H2" s="6">
        <f>WORKDAY(G2,1,Holidays!$A$2:$A$17)</f>
        <v>43116</v>
      </c>
      <c r="I2" s="6">
        <f>WORKDAY(H2,1,Holidays!$A$2:$A$17)</f>
        <v>43117</v>
      </c>
      <c r="J2" s="6">
        <f>WORKDAY(I2,1,Holidays!$A$2:$A$17)</f>
        <v>43118</v>
      </c>
      <c r="K2" s="6">
        <f>WORKDAY(J2,1,Holidays!$A$2:$A$17)</f>
        <v>43119</v>
      </c>
      <c r="L2" s="6">
        <f>WORKDAY(K2,1,Holidays!$A$2:$A$17)</f>
        <v>43122</v>
      </c>
      <c r="M2" s="6">
        <f>WORKDAY(L2,1,Holidays!$A$2:$A$17)</f>
        <v>43123</v>
      </c>
      <c r="N2" s="6">
        <f>WORKDAY(M2,1,Holidays!$A$2:$A$17)</f>
        <v>43124</v>
      </c>
      <c r="O2" s="6">
        <f>WORKDAY(N2,1,Holidays!$A$2:$A$17)</f>
        <v>43125</v>
      </c>
      <c r="P2" s="6">
        <f>WORKDAY(O2,1,Holidays!$A$2:$A$17)</f>
        <v>43126</v>
      </c>
      <c r="Q2" s="6">
        <f>WORKDAY(P2,1,Holidays!$A$2:$A$17)</f>
        <v>43129</v>
      </c>
      <c r="R2" s="6">
        <f>WORKDAY(Q2,1,Holidays!$A$2:$A$17)</f>
        <v>43130</v>
      </c>
      <c r="S2" s="6">
        <f>WORKDAY(R2,1,Holidays!$A$2:$A$17)</f>
        <v>43131</v>
      </c>
      <c r="T2" s="6">
        <f>WORKDAY(S2,1,Holidays!$A$2:$A$17)</f>
        <v>43132</v>
      </c>
      <c r="U2" s="6">
        <f>WORKDAY(T2,1,Holidays!$A$2:$A$17)</f>
        <v>43133</v>
      </c>
      <c r="V2" s="6">
        <f>WORKDAY(U2,1,Holidays!$A$2:$A$17)</f>
        <v>43136</v>
      </c>
      <c r="W2" s="6">
        <f>WORKDAY(V2,1,Holidays!$A$2:$A$17)</f>
        <v>43137</v>
      </c>
      <c r="X2" s="6">
        <f>WORKDAY(W2,1,Holidays!$A$2:$A$17)</f>
        <v>43138</v>
      </c>
      <c r="Y2" s="6">
        <f>WORKDAY(X2,1,Holidays!$A$2:$A$17)</f>
        <v>43139</v>
      </c>
      <c r="Z2" s="6">
        <f>WORKDAY(Y2,1,Holidays!$A$2:$A$17)</f>
        <v>43140</v>
      </c>
      <c r="AA2" s="6">
        <f>WORKDAY(Z2,1,Holidays!$A$2:$A$17)</f>
        <v>43143</v>
      </c>
      <c r="AB2" s="6">
        <f>WORKDAY(AA2,1,Holidays!$A$2:$A$17)</f>
        <v>43144</v>
      </c>
      <c r="AC2" s="6">
        <f>WORKDAY(AB2,1,Holidays!$A$2:$A$17)</f>
        <v>43145</v>
      </c>
      <c r="AD2" s="6">
        <f>WORKDAY(AC2,1,Holidays!$A$2:$A$17)</f>
        <v>43146</v>
      </c>
      <c r="AE2" s="6">
        <f>WORKDAY(AD2,1,Holidays!$A$2:$A$17)</f>
        <v>43147</v>
      </c>
      <c r="AF2" s="6">
        <f>WORKDAY(AE2,1,Holidays!$A$2:$A$17)</f>
        <v>43150</v>
      </c>
      <c r="AG2" s="6">
        <f>WORKDAY(AF2,1,Holidays!$A$2:$A$17)</f>
        <v>43151</v>
      </c>
      <c r="AH2" s="6">
        <f>WORKDAY(AG2,1,Holidays!$A$2:$A$17)</f>
        <v>43152</v>
      </c>
      <c r="AI2" s="6">
        <f>WORKDAY(AH2,1,Holidays!$A$2:$A$17)</f>
        <v>43153</v>
      </c>
      <c r="AJ2" s="6">
        <f>WORKDAY(AI2,1,Holidays!$A$2:$A$17)</f>
        <v>43154</v>
      </c>
      <c r="AK2" s="6">
        <f>WORKDAY(AJ2,1,Holidays!$A$2:$A$17)</f>
        <v>43157</v>
      </c>
      <c r="AL2" s="6">
        <f>WORKDAY(AK2,1,Holidays!$A$2:$A$17)</f>
        <v>43158</v>
      </c>
      <c r="AM2" s="6">
        <f>WORKDAY(AL2,1,Holidays!$A$2:$A$17)</f>
        <v>43159</v>
      </c>
      <c r="AN2" s="6">
        <f>WORKDAY(AM2,1,Holidays!$A$2:$A$17)</f>
        <v>43160</v>
      </c>
      <c r="AO2" s="6">
        <f>WORKDAY(AN2,1,Holidays!$A$2:$A$17)</f>
        <v>43161</v>
      </c>
      <c r="AP2" s="6">
        <f>WORKDAY(AO2,1,Holidays!$A$2:$A$17)</f>
        <v>43164</v>
      </c>
      <c r="AQ2" s="6">
        <f>WORKDAY(AP2,1,Holidays!$A$2:$A$17)</f>
        <v>43165</v>
      </c>
      <c r="AR2" s="6">
        <f>WORKDAY(AQ2,1,Holidays!$A$2:$A$17)</f>
        <v>43166</v>
      </c>
      <c r="AS2" s="6">
        <f>WORKDAY(AR2,1,Holidays!$A$2:$A$17)</f>
        <v>43167</v>
      </c>
      <c r="AT2" s="6">
        <f>WORKDAY(AS2,1,Holidays!$A$2:$A$17)</f>
        <v>43168</v>
      </c>
      <c r="AU2" s="6">
        <f>WORKDAY(AT2,1,Holidays!$A$2:$A$17)</f>
        <v>43171</v>
      </c>
      <c r="AV2" s="6">
        <f>WORKDAY(AU2,1,Holidays!$A$2:$A$17)</f>
        <v>43172</v>
      </c>
      <c r="AW2" s="6">
        <f>WORKDAY(AV2,1,Holidays!$A$2:$A$17)</f>
        <v>43173</v>
      </c>
      <c r="AX2" s="6">
        <f>WORKDAY(AW2,1,Holidays!$A$2:$A$17)</f>
        <v>43174</v>
      </c>
      <c r="AY2" s="6">
        <f>WORKDAY(AX2,1,Holidays!$A$2:$A$17)</f>
        <v>43175</v>
      </c>
      <c r="AZ2" s="6">
        <f>WORKDAY(AY2,1,Holidays!$A$2:$A$17)</f>
        <v>43178</v>
      </c>
      <c r="BA2" s="6">
        <f>WORKDAY(AZ2,1,Holidays!$A$2:$A$17)</f>
        <v>43179</v>
      </c>
      <c r="BB2" s="6">
        <f>WORKDAY(BA2,1,Holidays!$A$2:$A$17)</f>
        <v>43180</v>
      </c>
      <c r="BC2" s="6">
        <f>WORKDAY(BB2,1,Holidays!$A$2:$A$17)</f>
        <v>43181</v>
      </c>
      <c r="BD2" s="6">
        <f>WORKDAY(BC2,1,Holidays!$A$2:$A$17)</f>
        <v>43182</v>
      </c>
      <c r="BE2" s="6">
        <f>WORKDAY(BD2,1,Holidays!$A$2:$A$17)</f>
        <v>43185</v>
      </c>
      <c r="BF2" s="6">
        <f>WORKDAY(BE2,1,Holidays!$A$2:$A$17)</f>
        <v>43186</v>
      </c>
      <c r="BG2" s="6">
        <f>WORKDAY(BF2,1,Holidays!$A$2:$A$17)</f>
        <v>43187</v>
      </c>
      <c r="BH2" s="6">
        <f>WORKDAY(BG2,1,Holidays!$A$2:$A$17)</f>
        <v>43188</v>
      </c>
      <c r="BI2" s="6">
        <f>WORKDAY(BH2,1,Holidays!$A$2:$A$17)</f>
        <v>43189</v>
      </c>
      <c r="BJ2" s="6">
        <f>WORKDAY(BI2,1,Holidays!$A$2:$A$17)</f>
        <v>43192</v>
      </c>
      <c r="BK2" s="6">
        <f>WORKDAY(BJ2,1,Holidays!$A$2:$A$17)</f>
        <v>43193</v>
      </c>
      <c r="BL2" s="6">
        <f>WORKDAY(BK2,1,Holidays!$A$2:$A$17)</f>
        <v>43194</v>
      </c>
      <c r="BM2" s="6">
        <f>WORKDAY(BL2,1,Holidays!$A$2:$A$17)</f>
        <v>43195</v>
      </c>
      <c r="BN2" s="6">
        <f>WORKDAY(BM2,1,Holidays!$A$2:$A$17)</f>
        <v>43196</v>
      </c>
      <c r="BO2" s="6">
        <f>WORKDAY(BN2,1,Holidays!$A$2:$A$17)</f>
        <v>43199</v>
      </c>
      <c r="BP2" s="6">
        <f>WORKDAY(BO2,1,Holidays!$A$2:$A$17)</f>
        <v>43200</v>
      </c>
      <c r="BQ2" s="6">
        <f>WORKDAY(BP2,1,Holidays!$A$2:$A$17)</f>
        <v>43201</v>
      </c>
      <c r="BR2" s="6">
        <f>WORKDAY(BQ2,1,Holidays!$A$2:$A$17)</f>
        <v>43202</v>
      </c>
      <c r="BS2" s="6">
        <f>WORKDAY(BR2,1,Holidays!$A$2:$A$17)</f>
        <v>43203</v>
      </c>
      <c r="BT2" s="6">
        <f>WORKDAY(BS2,1,Holidays!$A$2:$A$17)</f>
        <v>43206</v>
      </c>
      <c r="BU2" s="6">
        <f>WORKDAY(BT2,1,Holidays!$A$2:$A$17)</f>
        <v>43207</v>
      </c>
      <c r="BV2" s="6">
        <f>WORKDAY(BU2,1,Holidays!$A$2:$A$17)</f>
        <v>43208</v>
      </c>
      <c r="BW2" s="6">
        <f>WORKDAY(BV2,1,Holidays!$A$2:$A$17)</f>
        <v>43209</v>
      </c>
      <c r="BX2" s="6">
        <f>WORKDAY(BW2,1,Holidays!$A$2:$A$17)</f>
        <v>43210</v>
      </c>
      <c r="BY2" s="6">
        <f>WORKDAY(BX2,1,Holidays!$A$2:$A$17)</f>
        <v>43213</v>
      </c>
      <c r="BZ2" s="6">
        <f>WORKDAY(BY2,1,Holidays!$A$2:$A$17)</f>
        <v>43214</v>
      </c>
      <c r="CA2" s="6">
        <f>WORKDAY(BZ2,1,Holidays!$A$2:$A$17)</f>
        <v>43215</v>
      </c>
      <c r="CB2" s="6">
        <f>WORKDAY(CA2,1,Holidays!$A$2:$A$17)</f>
        <v>43216</v>
      </c>
      <c r="CC2" s="6">
        <f>WORKDAY(CB2,1,Holidays!$A$2:$A$17)</f>
        <v>43217</v>
      </c>
      <c r="CD2" s="6">
        <f>WORKDAY(CC2,1,Holidays!$A$2:$A$17)</f>
        <v>43220</v>
      </c>
      <c r="CE2" s="6">
        <f>WORKDAY(CD2,1,Holidays!$A$2:$A$17)</f>
        <v>43221</v>
      </c>
      <c r="CF2" s="6">
        <f>WORKDAY(CE2,1,Holidays!$A$2:$A$17)</f>
        <v>43222</v>
      </c>
      <c r="CG2" s="6">
        <f>WORKDAY(CF2,1,Holidays!$A$2:$A$17)</f>
        <v>43223</v>
      </c>
      <c r="CH2" s="6">
        <f>WORKDAY(CG2,1,Holidays!$A$2:$A$17)</f>
        <v>43224</v>
      </c>
      <c r="CI2" s="6">
        <f>WORKDAY(CH2,1,Holidays!$A$2:$A$17)</f>
        <v>43227</v>
      </c>
      <c r="CJ2" s="6">
        <f>WORKDAY(CI2,1,Holidays!$A$2:$A$17)</f>
        <v>43228</v>
      </c>
      <c r="CK2" s="6">
        <f>WORKDAY(CJ2,1,Holidays!$A$2:$A$17)</f>
        <v>43229</v>
      </c>
      <c r="CL2" s="6">
        <f>WORKDAY(CK2,1,Holidays!$A$2:$A$17)</f>
        <v>43230</v>
      </c>
      <c r="CM2" s="6">
        <f>WORKDAY(CL2,1,Holidays!$A$2:$A$17)</f>
        <v>43231</v>
      </c>
      <c r="CN2" s="6">
        <f>WORKDAY(CM2,1,Holidays!$A$2:$A$17)</f>
        <v>43234</v>
      </c>
      <c r="CO2" s="6">
        <f>WORKDAY(CN2,1,Holidays!$A$2:$A$17)</f>
        <v>43235</v>
      </c>
      <c r="CP2" s="6">
        <f>WORKDAY(CO2,1,Holidays!$A$2:$A$17)</f>
        <v>43236</v>
      </c>
      <c r="CQ2" s="6">
        <f>WORKDAY(CP2,1,Holidays!$A$2:$A$17)</f>
        <v>43237</v>
      </c>
      <c r="CR2" s="6">
        <f>WORKDAY(CQ2,1,Holidays!$A$2:$A$17)</f>
        <v>43238</v>
      </c>
      <c r="CS2" s="6">
        <f>WORKDAY(CR2,1,Holidays!$A$2:$A$17)</f>
        <v>43241</v>
      </c>
      <c r="CT2" s="6">
        <f>WORKDAY(CS2,1,Holidays!$A$2:$A$17)</f>
        <v>43242</v>
      </c>
      <c r="CU2" s="6">
        <f>WORKDAY(CT2,1,Holidays!$A$2:$A$17)</f>
        <v>43243</v>
      </c>
      <c r="CV2" s="6">
        <f>WORKDAY(CU2,1,Holidays!$A$2:$A$17)</f>
        <v>43244</v>
      </c>
    </row>
    <row r="4" spans="1:128">
      <c r="A4" s="17" t="s">
        <v>17</v>
      </c>
    </row>
    <row r="5" spans="1:128" s="19" customFormat="1" ht="10.5" customHeight="1">
      <c r="A5" s="18" t="s">
        <v>16</v>
      </c>
      <c r="B5" s="18">
        <f>COUNTIFS('Daily Track'!$H$3:$H$130,"&lt;="&amp;Chart!B2,'Daily Track'!$I$3:$I$130,"&gt;="&amp;Chart!B2)</f>
        <v>4</v>
      </c>
      <c r="C5" s="18">
        <f>COUNTIFS('Daily Track'!$H$3:$H$130,"&lt;="&amp;Chart!C2,'Daily Track'!$I$3:$I$130,"&gt;="&amp;Chart!C2)</f>
        <v>4</v>
      </c>
      <c r="D5" s="18">
        <f>COUNTIFS('Daily Track'!$H$3:$H$130,"&lt;="&amp;Chart!D2,'Daily Track'!$I$3:$I$130,"&gt;="&amp;Chart!D2)</f>
        <v>4</v>
      </c>
      <c r="E5" s="18">
        <f>COUNTIFS('Daily Track'!$H$3:$H$130,"&lt;="&amp;Chart!E2,'Daily Track'!$I$3:$I$130,"&gt;="&amp;Chart!E2)</f>
        <v>4</v>
      </c>
      <c r="F5" s="18">
        <f>COUNTIFS('Daily Track'!$H$3:$H$130,"&lt;="&amp;Chart!F2,'Daily Track'!$I$3:$I$130,"&gt;="&amp;Chart!F2)</f>
        <v>4</v>
      </c>
      <c r="G5" s="18">
        <f>COUNTIFS('Daily Track'!$H$3:$H$130,"&lt;="&amp;Chart!G2,'Daily Track'!$I$3:$I$130,"&gt;="&amp;Chart!G2)</f>
        <v>5</v>
      </c>
      <c r="H5" s="18">
        <f>COUNTIFS('Daily Track'!$H$3:$H$130,"&lt;="&amp;Chart!H2,'Daily Track'!$I$3:$I$130,"&gt;="&amp;Chart!H2)</f>
        <v>5</v>
      </c>
      <c r="I5" s="18">
        <f>COUNTIFS('Daily Track'!$H$3:$H$130,"&lt;="&amp;Chart!I2,'Daily Track'!$I$3:$I$130,"&gt;="&amp;Chart!I2)</f>
        <v>5</v>
      </c>
      <c r="J5" s="18">
        <f>COUNTIFS('Daily Track'!$H$3:$H$130,"&lt;="&amp;Chart!J2,'Daily Track'!$I$3:$I$130,"&gt;="&amp;Chart!J2)</f>
        <v>5</v>
      </c>
      <c r="K5" s="18">
        <f>COUNTIFS('Daily Track'!$H$3:$H$130,"&lt;="&amp;Chart!K2,'Daily Track'!$I$3:$I$130,"&gt;="&amp;Chart!K2)</f>
        <v>5</v>
      </c>
      <c r="L5" s="18">
        <f>COUNTIFS('Daily Track'!$H$3:$H$130,"&lt;="&amp;Chart!L2,'Daily Track'!$I$3:$I$130,"&gt;="&amp;Chart!L2)</f>
        <v>6</v>
      </c>
      <c r="M5" s="18">
        <f>COUNTIFS('Daily Track'!$H$3:$H$130,"&lt;="&amp;Chart!M2,'Daily Track'!$I$3:$I$130,"&gt;="&amp;Chart!M2)</f>
        <v>13</v>
      </c>
      <c r="N5" s="18">
        <f>COUNTIFS('Daily Track'!$H$3:$H$130,"&lt;="&amp;Chart!N2,'Daily Track'!$I$3:$I$130,"&gt;="&amp;Chart!N2)</f>
        <v>13</v>
      </c>
      <c r="O5" s="18">
        <f>COUNTIFS('Daily Track'!$H$3:$H$130,"&lt;="&amp;Chart!O2,'Daily Track'!$I$3:$I$130,"&gt;="&amp;Chart!O2)</f>
        <v>13</v>
      </c>
      <c r="P5" s="18">
        <f>COUNTIFS('Daily Track'!$H$3:$H$130,"&lt;="&amp;Chart!P2,'Daily Track'!$I$3:$I$130,"&gt;="&amp;Chart!P2)</f>
        <v>7</v>
      </c>
      <c r="Q5" s="18">
        <f>COUNTIFS('Daily Track'!$H$3:$H$130,"&lt;="&amp;Chart!Q2,'Daily Track'!$I$3:$I$130,"&gt;="&amp;Chart!Q2)</f>
        <v>11</v>
      </c>
      <c r="R5" s="18">
        <f>COUNTIFS('Daily Track'!$H$3:$H$130,"&lt;="&amp;Chart!R2,'Daily Track'!$I$3:$I$130,"&gt;="&amp;Chart!R2)</f>
        <v>11</v>
      </c>
      <c r="S5" s="18">
        <f>COUNTIFS('Daily Track'!$H$3:$H$130,"&lt;="&amp;Chart!S2,'Daily Track'!$I$3:$I$130,"&gt;="&amp;Chart!S2)</f>
        <v>5</v>
      </c>
      <c r="T5" s="18">
        <f>COUNTIFS('Daily Track'!$H$3:$H$130,"&lt;="&amp;Chart!T2,'Daily Track'!$I$3:$I$130,"&gt;="&amp;Chart!T2)</f>
        <v>5</v>
      </c>
      <c r="U5" s="18">
        <f>COUNTIFS('Daily Track'!$H$3:$H$130,"&lt;="&amp;Chart!U2,'Daily Track'!$I$3:$I$130,"&gt;="&amp;Chart!U2)</f>
        <v>5</v>
      </c>
      <c r="V5" s="18">
        <f>COUNTIFS('Daily Track'!$H$3:$H$130,"&lt;="&amp;Chart!V2,'Daily Track'!$I$3:$I$130,"&gt;="&amp;Chart!V2)</f>
        <v>0</v>
      </c>
      <c r="W5" s="18">
        <f>COUNTIFS('Daily Track'!$H$3:$H$130,"&lt;="&amp;Chart!W2,'Daily Track'!$I$3:$I$130,"&gt;="&amp;Chart!W2)</f>
        <v>0</v>
      </c>
      <c r="X5" s="18">
        <f>COUNTIFS('Daily Track'!$H$3:$H$130,"&lt;="&amp;Chart!X2,'Daily Track'!$I$3:$I$130,"&gt;="&amp;Chart!X2)</f>
        <v>0</v>
      </c>
      <c r="Y5" s="18">
        <f>COUNTIFS('Daily Track'!$H$3:$H$130,"&lt;="&amp;Chart!Y2,'Daily Track'!$I$3:$I$130,"&gt;="&amp;Chart!Y2)</f>
        <v>0</v>
      </c>
      <c r="Z5" s="18">
        <f>COUNTIFS('Daily Track'!$H$3:$H$130,"&lt;="&amp;Chart!Z2,'Daily Track'!$I$3:$I$130,"&gt;="&amp;Chart!Z2)</f>
        <v>0</v>
      </c>
      <c r="AA5" s="18">
        <f>COUNTIFS('Daily Track'!$H$3:$H$130,"&lt;="&amp;Chart!AA2,'Daily Track'!$I$3:$I$130,"&gt;="&amp;Chart!AA2)</f>
        <v>0</v>
      </c>
      <c r="AB5" s="18">
        <f>COUNTIFS('Daily Track'!$H$3:$H$130,"&lt;="&amp;Chart!AB2,'Daily Track'!$I$3:$I$130,"&gt;="&amp;Chart!AB2)</f>
        <v>0</v>
      </c>
      <c r="AC5" s="18">
        <f>COUNTIFS('Daily Track'!$H$3:$H$130,"&lt;="&amp;Chart!AC2,'Daily Track'!$I$3:$I$130,"&gt;="&amp;Chart!AC2)</f>
        <v>0</v>
      </c>
      <c r="AD5" s="18">
        <f>COUNTIFS('Daily Track'!$H$3:$H$130,"&lt;="&amp;Chart!AD2,'Daily Track'!$I$3:$I$130,"&gt;="&amp;Chart!AD2)</f>
        <v>0</v>
      </c>
      <c r="AE5" s="18">
        <f>COUNTIFS('Daily Track'!$H$3:$H$130,"&lt;="&amp;Chart!AE2,'Daily Track'!$I$3:$I$130,"&gt;="&amp;Chart!AE2)</f>
        <v>0</v>
      </c>
      <c r="AF5" s="18">
        <f>COUNTIFS('Daily Track'!$H$3:$H$130,"&lt;="&amp;Chart!AF2,'Daily Track'!$I$3:$I$130,"&gt;="&amp;Chart!AF2)</f>
        <v>0</v>
      </c>
      <c r="AG5" s="18">
        <f>COUNTIFS('Daily Track'!$H$3:$H$130,"&lt;="&amp;Chart!AG2,'Daily Track'!$I$3:$I$130,"&gt;="&amp;Chart!AG2)</f>
        <v>0</v>
      </c>
      <c r="AH5" s="18">
        <f>COUNTIFS('Daily Track'!$H$3:$H$130,"&lt;="&amp;Chart!AH2,'Daily Track'!$I$3:$I$130,"&gt;="&amp;Chart!AH2)</f>
        <v>0</v>
      </c>
      <c r="AI5" s="18">
        <f>COUNTIFS('Daily Track'!$H$3:$H$130,"&lt;="&amp;Chart!AI2,'Daily Track'!$I$3:$I$130,"&gt;="&amp;Chart!AI2)</f>
        <v>0</v>
      </c>
      <c r="AJ5" s="18">
        <f>COUNTIFS('Daily Track'!$H$3:$H$130,"&lt;="&amp;Chart!AJ2,'Daily Track'!$I$3:$I$130,"&gt;="&amp;Chart!AJ2)</f>
        <v>0</v>
      </c>
      <c r="AK5" s="18">
        <f>COUNTIFS('Daily Track'!$H$3:$H$130,"&lt;="&amp;Chart!AK2,'Daily Track'!$I$3:$I$130,"&gt;="&amp;Chart!AK2)</f>
        <v>0</v>
      </c>
      <c r="AL5" s="18">
        <f>COUNTIFS('Daily Track'!$H$3:$H$130,"&lt;="&amp;Chart!AL2,'Daily Track'!$I$3:$I$130,"&gt;="&amp;Chart!AL2)</f>
        <v>0</v>
      </c>
      <c r="AM5" s="18">
        <f>COUNTIFS('Daily Track'!$H$3:$H$130,"&lt;="&amp;Chart!AM2,'Daily Track'!$I$3:$I$130,"&gt;="&amp;Chart!AM2)</f>
        <v>0</v>
      </c>
      <c r="AN5" s="18">
        <f>COUNTIFS('Daily Track'!$H$3:$H$130,"&lt;="&amp;Chart!AN2,'Daily Track'!$I$3:$I$130,"&gt;="&amp;Chart!AN2)</f>
        <v>0</v>
      </c>
      <c r="AO5" s="18">
        <f>COUNTIFS('Daily Track'!$H$3:$H$130,"&lt;="&amp;Chart!AO2,'Daily Track'!$I$3:$I$130,"&gt;="&amp;Chart!AO2)</f>
        <v>0</v>
      </c>
      <c r="AP5" s="18">
        <f>COUNTIFS('Daily Track'!$H$3:$H$130,"&lt;="&amp;Chart!AP2,'Daily Track'!$I$3:$I$130,"&gt;="&amp;Chart!AP2)</f>
        <v>0</v>
      </c>
      <c r="AQ5" s="18">
        <f>COUNTIFS('Daily Track'!$H$3:$H$130,"&lt;="&amp;Chart!AQ2,'Daily Track'!$I$3:$I$130,"&gt;="&amp;Chart!AQ2)</f>
        <v>0</v>
      </c>
      <c r="AR5" s="18">
        <f>COUNTIFS('Daily Track'!$H$3:$H$130,"&lt;="&amp;Chart!AR2,'Daily Track'!$I$3:$I$130,"&gt;="&amp;Chart!AR2)</f>
        <v>0</v>
      </c>
      <c r="AS5" s="18">
        <f>COUNTIFS('Daily Track'!$H$3:$H$130,"&lt;="&amp;Chart!AS2,'Daily Track'!$I$3:$I$130,"&gt;="&amp;Chart!AS2)</f>
        <v>0</v>
      </c>
      <c r="AT5" s="18">
        <f>COUNTIFS('Daily Track'!$H$3:$H$130,"&lt;="&amp;Chart!AT2,'Daily Track'!$I$3:$I$130,"&gt;="&amp;Chart!AT2)</f>
        <v>0</v>
      </c>
      <c r="AU5" s="18">
        <f>COUNTIFS('Daily Track'!$H$3:$H$130,"&lt;="&amp;Chart!AU2,'Daily Track'!$I$3:$I$130,"&gt;="&amp;Chart!AU2)</f>
        <v>0</v>
      </c>
      <c r="AV5" s="18">
        <f>COUNTIFS('Daily Track'!$H$3:$H$130,"&lt;="&amp;Chart!AV2,'Daily Track'!$I$3:$I$130,"&gt;="&amp;Chart!AV2)</f>
        <v>0</v>
      </c>
      <c r="AW5" s="18">
        <f>COUNTIFS('Daily Track'!$H$3:$H$130,"&lt;="&amp;Chart!AW2,'Daily Track'!$I$3:$I$130,"&gt;="&amp;Chart!AW2)</f>
        <v>0</v>
      </c>
      <c r="AX5" s="18">
        <f>COUNTIFS('Daily Track'!$H$3:$H$130,"&lt;="&amp;Chart!AX2,'Daily Track'!$I$3:$I$130,"&gt;="&amp;Chart!AX2)</f>
        <v>0</v>
      </c>
      <c r="AY5" s="18">
        <f>COUNTIFS('Daily Track'!$H$3:$H$130,"&lt;="&amp;Chart!AY2,'Daily Track'!$I$3:$I$130,"&gt;="&amp;Chart!AY2)</f>
        <v>0</v>
      </c>
      <c r="AZ5" s="18">
        <f>COUNTIFS('Daily Track'!$H$3:$H$130,"&lt;="&amp;Chart!AZ2,'Daily Track'!$I$3:$I$130,"&gt;="&amp;Chart!AZ2)</f>
        <v>0</v>
      </c>
      <c r="BA5" s="18">
        <f>COUNTIFS('Daily Track'!$H$3:$H$130,"&lt;="&amp;Chart!BA2,'Daily Track'!$I$3:$I$130,"&gt;="&amp;Chart!BA2)</f>
        <v>0</v>
      </c>
      <c r="BB5" s="18">
        <f>COUNTIFS('Daily Track'!$H$3:$H$130,"&lt;="&amp;Chart!BB2,'Daily Track'!$I$3:$I$130,"&gt;="&amp;Chart!BB2)</f>
        <v>0</v>
      </c>
      <c r="BC5" s="18">
        <f>COUNTIFS('Daily Track'!$H$3:$H$130,"&lt;="&amp;Chart!BC2,'Daily Track'!$I$3:$I$130,"&gt;="&amp;Chart!BC2)</f>
        <v>0</v>
      </c>
      <c r="BD5" s="18">
        <f>COUNTIFS('Daily Track'!$H$3:$H$130,"&lt;="&amp;Chart!BD2,'Daily Track'!$I$3:$I$130,"&gt;="&amp;Chart!BD2)</f>
        <v>0</v>
      </c>
      <c r="BE5" s="18">
        <f>COUNTIFS('Daily Track'!$H$3:$H$130,"&lt;="&amp;Chart!BE2,'Daily Track'!$I$3:$I$130,"&gt;="&amp;Chart!BE2)</f>
        <v>0</v>
      </c>
      <c r="BF5" s="18">
        <f>COUNTIFS('Daily Track'!$H$3:$H$130,"&lt;="&amp;Chart!BF2,'Daily Track'!$I$3:$I$130,"&gt;="&amp;Chart!BF2)</f>
        <v>0</v>
      </c>
      <c r="BG5" s="18">
        <f>COUNTIFS('Daily Track'!$H$3:$H$130,"&lt;="&amp;Chart!BG2,'Daily Track'!$I$3:$I$130,"&gt;="&amp;Chart!BG2)</f>
        <v>0</v>
      </c>
      <c r="BH5" s="18">
        <f>COUNTIFS('Daily Track'!$H$3:$H$130,"&lt;="&amp;Chart!BH2,'Daily Track'!$I$3:$I$130,"&gt;="&amp;Chart!BH2)</f>
        <v>0</v>
      </c>
      <c r="BI5" s="18">
        <f>COUNTIFS('Daily Track'!$H$3:$H$130,"&lt;="&amp;Chart!BI2,'Daily Track'!$I$3:$I$130,"&gt;="&amp;Chart!BI2)</f>
        <v>0</v>
      </c>
      <c r="BJ5" s="18">
        <f>COUNTIFS('Daily Track'!$H$3:$H$130,"&lt;="&amp;Chart!BJ2,'Daily Track'!$I$3:$I$130,"&gt;="&amp;Chart!BJ2)</f>
        <v>0</v>
      </c>
      <c r="BK5" s="18">
        <f>COUNTIFS('Daily Track'!$H$3:$H$130,"&lt;="&amp;Chart!BK2,'Daily Track'!$I$3:$I$130,"&gt;="&amp;Chart!BK2)</f>
        <v>0</v>
      </c>
      <c r="BL5" s="18">
        <f>COUNTIFS('Daily Track'!$H$3:$H$130,"&lt;="&amp;Chart!BL2,'Daily Track'!$I$3:$I$130,"&gt;="&amp;Chart!BL2)</f>
        <v>0</v>
      </c>
      <c r="BM5" s="18">
        <f>COUNTIFS('Daily Track'!$H$3:$H$130,"&lt;="&amp;Chart!BM2,'Daily Track'!$I$3:$I$130,"&gt;="&amp;Chart!BM2)</f>
        <v>0</v>
      </c>
      <c r="BN5" s="18">
        <f>COUNTIFS('Daily Track'!$H$3:$H$130,"&lt;="&amp;Chart!BN2,'Daily Track'!$I$3:$I$130,"&gt;="&amp;Chart!BN2)</f>
        <v>0</v>
      </c>
      <c r="BO5" s="18">
        <f>COUNTIFS('Daily Track'!$H$3:$H$130,"&lt;="&amp;Chart!BO2,'Daily Track'!$I$3:$I$130,"&gt;="&amp;Chart!BO2)</f>
        <v>0</v>
      </c>
      <c r="BP5" s="18">
        <f>COUNTIFS('Daily Track'!$H$3:$H$130,"&lt;="&amp;Chart!BP2,'Daily Track'!$I$3:$I$130,"&gt;="&amp;Chart!BP2)</f>
        <v>0</v>
      </c>
      <c r="BQ5" s="18">
        <f>COUNTIFS('Daily Track'!$H$3:$H$130,"&lt;="&amp;Chart!BQ2,'Daily Track'!$I$3:$I$130,"&gt;="&amp;Chart!BQ2)</f>
        <v>0</v>
      </c>
      <c r="BR5" s="18">
        <f>COUNTIFS('Daily Track'!$H$3:$H$130,"&lt;="&amp;Chart!BR2,'Daily Track'!$I$3:$I$130,"&gt;="&amp;Chart!BR2)</f>
        <v>0</v>
      </c>
      <c r="BS5" s="18">
        <f>COUNTIFS('Daily Track'!$H$3:$H$130,"&lt;="&amp;Chart!BS2,'Daily Track'!$I$3:$I$130,"&gt;="&amp;Chart!BS2)</f>
        <v>0</v>
      </c>
      <c r="BT5" s="18">
        <f>COUNTIFS('Daily Track'!$H$3:$H$130,"&lt;="&amp;Chart!BT2,'Daily Track'!$I$3:$I$130,"&gt;="&amp;Chart!BT2)</f>
        <v>0</v>
      </c>
      <c r="BU5" s="18">
        <f>COUNTIFS('Daily Track'!$H$3:$H$130,"&lt;="&amp;Chart!BU2,'Daily Track'!$I$3:$I$130,"&gt;="&amp;Chart!BU2)</f>
        <v>0</v>
      </c>
      <c r="BV5" s="18">
        <f>COUNTIFS('Daily Track'!$H$3:$H$130,"&lt;="&amp;Chart!BV2,'Daily Track'!$I$3:$I$130,"&gt;="&amp;Chart!BV2)</f>
        <v>0</v>
      </c>
      <c r="BW5" s="18">
        <f>COUNTIFS('Daily Track'!$H$3:$H$130,"&lt;="&amp;Chart!BW2,'Daily Track'!$I$3:$I$130,"&gt;="&amp;Chart!BW2)</f>
        <v>0</v>
      </c>
      <c r="BX5" s="18">
        <f>COUNTIFS('Daily Track'!$H$3:$H$130,"&lt;="&amp;Chart!BX2,'Daily Track'!$I$3:$I$130,"&gt;="&amp;Chart!BX2)</f>
        <v>0</v>
      </c>
      <c r="BY5" s="18">
        <f>COUNTIFS('Daily Track'!$H$3:$H$130,"&lt;="&amp;Chart!BY2,'Daily Track'!$I$3:$I$130,"&gt;="&amp;Chart!BY2)</f>
        <v>0</v>
      </c>
      <c r="BZ5" s="18">
        <f>COUNTIFS('Daily Track'!$H$3:$H$130,"&lt;="&amp;Chart!BZ2,'Daily Track'!$I$3:$I$130,"&gt;="&amp;Chart!BZ2)</f>
        <v>0</v>
      </c>
      <c r="CA5" s="18">
        <f>COUNTIFS('Daily Track'!$H$3:$H$130,"&lt;="&amp;Chart!CA2,'Daily Track'!$I$3:$I$130,"&gt;="&amp;Chart!CA2)</f>
        <v>0</v>
      </c>
      <c r="CB5" s="18">
        <f>COUNTIFS('Daily Track'!$H$3:$H$130,"&lt;="&amp;Chart!CB2,'Daily Track'!$I$3:$I$130,"&gt;="&amp;Chart!CB2)</f>
        <v>0</v>
      </c>
      <c r="CC5" s="18">
        <f>COUNTIFS('Daily Track'!$H$3:$H$130,"&lt;="&amp;Chart!CC2,'Daily Track'!$I$3:$I$130,"&gt;="&amp;Chart!CC2)</f>
        <v>0</v>
      </c>
      <c r="CD5" s="18">
        <f>COUNTIFS('Daily Track'!$H$3:$H$130,"&lt;="&amp;Chart!CD2,'Daily Track'!$I$3:$I$130,"&gt;="&amp;Chart!CD2)</f>
        <v>0</v>
      </c>
      <c r="CE5" s="18">
        <f>COUNTIFS('Daily Track'!$H$3:$H$130,"&lt;="&amp;Chart!CE2,'Daily Track'!$I$3:$I$130,"&gt;="&amp;Chart!CE2)</f>
        <v>0</v>
      </c>
      <c r="CF5" s="18">
        <f>COUNTIFS('Daily Track'!$H$3:$H$130,"&lt;="&amp;Chart!CF2,'Daily Track'!$I$3:$I$130,"&gt;="&amp;Chart!CF2)</f>
        <v>0</v>
      </c>
      <c r="CG5" s="18">
        <f>COUNTIFS('Daily Track'!$H$3:$H$130,"&lt;="&amp;Chart!CG2,'Daily Track'!$I$3:$I$130,"&gt;="&amp;Chart!CG2)</f>
        <v>0</v>
      </c>
      <c r="CH5" s="18">
        <f>COUNTIFS('Daily Track'!$H$3:$H$130,"&lt;="&amp;Chart!CH2,'Daily Track'!$I$3:$I$130,"&gt;="&amp;Chart!CH2)</f>
        <v>0</v>
      </c>
      <c r="CI5" s="18">
        <f>COUNTIFS('Daily Track'!$H$3:$H$130,"&lt;="&amp;Chart!CI2,'Daily Track'!$I$3:$I$130,"&gt;="&amp;Chart!CI2)</f>
        <v>0</v>
      </c>
      <c r="CJ5" s="18">
        <f>COUNTIFS('Daily Track'!$H$3:$H$130,"&lt;="&amp;Chart!CJ2,'Daily Track'!$I$3:$I$130,"&gt;="&amp;Chart!CJ2)</f>
        <v>0</v>
      </c>
      <c r="CK5" s="18">
        <f>COUNTIFS('Daily Track'!$H$3:$H$130,"&lt;="&amp;Chart!CK2,'Daily Track'!$I$3:$I$130,"&gt;="&amp;Chart!CK2)</f>
        <v>0</v>
      </c>
      <c r="CL5" s="18">
        <f>COUNTIFS('Daily Track'!$H$3:$H$130,"&lt;="&amp;Chart!CL2,'Daily Track'!$I$3:$I$130,"&gt;="&amp;Chart!CL2)</f>
        <v>0</v>
      </c>
      <c r="CM5" s="18">
        <f>COUNTIFS('Daily Track'!$H$3:$H$130,"&lt;="&amp;Chart!CM2,'Daily Track'!$I$3:$I$130,"&gt;="&amp;Chart!CM2)</f>
        <v>0</v>
      </c>
      <c r="CN5" s="18">
        <f>COUNTIFS('Daily Track'!$H$3:$H$130,"&lt;="&amp;Chart!CN2,'Daily Track'!$I$3:$I$130,"&gt;="&amp;Chart!CN2)</f>
        <v>0</v>
      </c>
      <c r="CO5" s="18">
        <f>COUNTIFS('Daily Track'!$H$3:$H$130,"&lt;="&amp;Chart!CO2,'Daily Track'!$I$3:$I$130,"&gt;="&amp;Chart!CO2)</f>
        <v>0</v>
      </c>
      <c r="CP5" s="18">
        <f>COUNTIFS('Daily Track'!$H$3:$H$130,"&lt;="&amp;Chart!CP2,'Daily Track'!$I$3:$I$130,"&gt;="&amp;Chart!CP2)</f>
        <v>0</v>
      </c>
      <c r="CQ5" s="18">
        <f>COUNTIFS('Daily Track'!$H$3:$H$130,"&lt;="&amp;Chart!CQ2,'Daily Track'!$I$3:$I$130,"&gt;="&amp;Chart!CQ2)</f>
        <v>0</v>
      </c>
      <c r="CR5" s="18">
        <f>COUNTIFS('Daily Track'!$H$3:$H$130,"&lt;="&amp;Chart!CR2,'Daily Track'!$I$3:$I$130,"&gt;="&amp;Chart!CR2)</f>
        <v>0</v>
      </c>
      <c r="CS5" s="18">
        <f>COUNTIFS('Daily Track'!$H$3:$H$130,"&lt;="&amp;Chart!CS2,'Daily Track'!$I$3:$I$130,"&gt;="&amp;Chart!CS2)</f>
        <v>0</v>
      </c>
      <c r="CT5" s="18">
        <f>COUNTIFS('Daily Track'!$H$3:$H$130,"&lt;="&amp;Chart!CT2,'Daily Track'!$I$3:$I$130,"&gt;="&amp;Chart!CT2)</f>
        <v>0</v>
      </c>
      <c r="CU5" s="18">
        <f>COUNTIFS('Daily Track'!$H$3:$H$130,"&lt;="&amp;Chart!CU2,'Daily Track'!$I$3:$I$130,"&gt;="&amp;Chart!CU2)</f>
        <v>0</v>
      </c>
      <c r="CV5" s="18">
        <f>COUNTIFS('Daily Track'!$H$3:$H$130,"&lt;="&amp;Chart!CV2,'Daily Track'!$I$3:$I$130,"&gt;="&amp;Chart!CV2)</f>
        <v>0</v>
      </c>
    </row>
    <row r="6" spans="1:128" s="19" customFormat="1" ht="10.5" customHeight="1">
      <c r="A6" s="18" t="s">
        <v>14</v>
      </c>
      <c r="B6" s="18">
        <f ca="1">IF(B2&lt;=NOW(),COUNTIFS('Daily Track'!$L$3:$L$130,"&lt;="&amp;Chart!B2,'Daily Track'!$M$3:$M$130,"&gt;="&amp;B2)+COUNTIFS('Daily Track'!$L$3:$L$130,"&lt;="&amp;Chart!B2,'Daily Track'!$M$3:$M$130,""),0)</f>
        <v>0</v>
      </c>
      <c r="C6" s="18">
        <f ca="1">IF(C2&lt;=NOW(),COUNTIFS('Daily Track'!$L$3:$L$130,"&lt;="&amp;Chart!C2,'Daily Track'!$M$3:$M$130,"&gt;="&amp;C2)+COUNTIFS('Daily Track'!$L$3:$L$130,"&lt;="&amp;Chart!C2,'Daily Track'!$M$3:$M$130,""),0)</f>
        <v>0</v>
      </c>
      <c r="D6" s="18">
        <f ca="1">IF(D2&lt;=NOW(),COUNTIFS('Daily Track'!$L$3:$L$130,"&lt;="&amp;Chart!D2,'Daily Track'!$M$3:$M$130,"&gt;="&amp;D2)+COUNTIFS('Daily Track'!$L$3:$L$130,"&lt;="&amp;Chart!D2,'Daily Track'!$M$3:$M$130,""),0)</f>
        <v>0</v>
      </c>
      <c r="E6" s="18">
        <f ca="1">IF(E2&lt;=NOW(),COUNTIFS('Daily Track'!$L$3:$L$130,"&lt;="&amp;Chart!E2,'Daily Track'!$M$3:$M$130,"&gt;="&amp;E2)+COUNTIFS('Daily Track'!$L$3:$L$130,"&lt;="&amp;Chart!E2,'Daily Track'!$M$3:$M$130,""),0)</f>
        <v>0</v>
      </c>
      <c r="F6" s="18">
        <f ca="1">IF(F2&lt;=NOW(),COUNTIFS('Daily Track'!$L$3:$L$130,"&lt;="&amp;Chart!F2,'Daily Track'!$M$3:$M$130,"&gt;="&amp;F2)+COUNTIFS('Daily Track'!$L$3:$L$130,"&lt;="&amp;Chart!F2,'Daily Track'!$M$3:$M$130,""),0)</f>
        <v>0</v>
      </c>
      <c r="G6" s="18">
        <f ca="1">IF(G2&lt;=NOW(),COUNTIFS('Daily Track'!$L$3:$L$130,"&lt;="&amp;Chart!G2,'Daily Track'!$M$3:$M$130,"&gt;="&amp;G2)+COUNTIFS('Daily Track'!$L$3:$L$130,"&lt;="&amp;Chart!G2,'Daily Track'!$M$3:$M$130,""),0)</f>
        <v>0</v>
      </c>
      <c r="H6" s="18">
        <f ca="1">IF(H2&lt;=NOW(),COUNTIFS('Daily Track'!$L$3:$L$130,"&lt;="&amp;Chart!H2,'Daily Track'!$M$3:$M$130,"&gt;="&amp;H2)+COUNTIFS('Daily Track'!$L$3:$L$130,"&lt;="&amp;Chart!H2,'Daily Track'!$M$3:$M$130,""),0)</f>
        <v>0</v>
      </c>
      <c r="I6" s="18">
        <f ca="1">IF(I2&lt;=NOW(),COUNTIFS('Daily Track'!$L$3:$L$130,"&lt;="&amp;Chart!I2,'Daily Track'!$M$3:$M$130,"&gt;="&amp;I2)+COUNTIFS('Daily Track'!$L$3:$L$130,"&lt;="&amp;Chart!I2,'Daily Track'!$M$3:$M$130,""),0)</f>
        <v>0</v>
      </c>
      <c r="J6" s="18">
        <f ca="1">IF(J2&lt;=NOW(),COUNTIFS('Daily Track'!$L$3:$L$130,"&lt;="&amp;Chart!J2,'Daily Track'!$M$3:$M$130,"&gt;="&amp;J2)+COUNTIFS('Daily Track'!$L$3:$L$130,"&lt;="&amp;Chart!J2,'Daily Track'!$M$3:$M$130,""),0)</f>
        <v>0</v>
      </c>
      <c r="K6" s="18">
        <f ca="1">IF(K2&lt;=NOW(),COUNTIFS('Daily Track'!$L$3:$L$130,"&lt;="&amp;Chart!K2,'Daily Track'!$M$3:$M$130,"&gt;="&amp;K2)+COUNTIFS('Daily Track'!$L$3:$L$130,"&lt;="&amp;Chart!K2,'Daily Track'!$M$3:$M$130,""),0)</f>
        <v>0</v>
      </c>
      <c r="L6" s="18">
        <f ca="1">IF(L2&lt;=NOW(),COUNTIFS('Daily Track'!$L$3:$L$130,"&lt;="&amp;Chart!L2,'Daily Track'!$M$3:$M$130,"&gt;="&amp;L2)+COUNTIFS('Daily Track'!$L$3:$L$130,"&lt;="&amp;Chart!L2,'Daily Track'!$M$3:$M$130,""),0)</f>
        <v>0</v>
      </c>
      <c r="M6" s="18">
        <f ca="1">IF(M2&lt;=NOW(),COUNTIFS('Daily Track'!$L$3:$L$130,"&lt;="&amp;Chart!M2,'Daily Track'!$M$3:$M$130,"&gt;="&amp;M2)+COUNTIFS('Daily Track'!$L$3:$L$130,"&lt;="&amp;Chart!M2,'Daily Track'!$M$3:$M$130,""),0)</f>
        <v>0</v>
      </c>
      <c r="N6" s="18">
        <f ca="1">IF(N2&lt;=NOW(),COUNTIFS('Daily Track'!$L$3:$L$130,"&lt;="&amp;Chart!N2,'Daily Track'!$M$3:$M$130,"&gt;="&amp;N2)+COUNTIFS('Daily Track'!$L$3:$L$130,"&lt;="&amp;Chart!N2,'Daily Track'!$M$3:$M$130,""),0)</f>
        <v>0</v>
      </c>
      <c r="O6" s="18">
        <f ca="1">IF(O2&lt;=NOW(),COUNTIFS('Daily Track'!$L$3:$L$130,"&lt;="&amp;Chart!O2,'Daily Track'!$M$3:$M$130,"&gt;="&amp;O2)+COUNTIFS('Daily Track'!$L$3:$L$130,"&lt;="&amp;Chart!O2,'Daily Track'!$M$3:$M$130,""),0)</f>
        <v>0</v>
      </c>
      <c r="P6" s="18">
        <f ca="1">IF(P2&lt;=NOW(),COUNTIFS('Daily Track'!$L$3:$L$130,"&lt;="&amp;Chart!P2,'Daily Track'!$M$3:$M$130,"&gt;="&amp;P2)+COUNTIFS('Daily Track'!$L$3:$L$130,"&lt;="&amp;Chart!P2,'Daily Track'!$M$3:$M$130,""),0)</f>
        <v>0</v>
      </c>
      <c r="Q6" s="18">
        <f ca="1">IF(Q2&lt;=NOW(),COUNTIFS('Daily Track'!$L$3:$L$130,"&lt;="&amp;Chart!Q2,'Daily Track'!$M$3:$M$130,"&gt;="&amp;Q2)+COUNTIFS('Daily Track'!$L$3:$L$130,"&lt;="&amp;Chart!Q2,'Daily Track'!$M$3:$M$130,""),0)</f>
        <v>0</v>
      </c>
      <c r="R6" s="18">
        <f ca="1">IF(R2&lt;=NOW(),COUNTIFS('Daily Track'!$L$3:$L$130,"&lt;="&amp;Chart!R2,'Daily Track'!$M$3:$M$130,"&gt;="&amp;R2)+COUNTIFS('Daily Track'!$L$3:$L$130,"&lt;="&amp;Chart!R2,'Daily Track'!$M$3:$M$130,""),0)</f>
        <v>0</v>
      </c>
      <c r="S6" s="18">
        <f ca="1">IF(S2&lt;=NOW(),COUNTIFS('Daily Track'!$L$3:$L$130,"&lt;="&amp;Chart!S2,'Daily Track'!$M$3:$M$130,"&gt;="&amp;S2)+COUNTIFS('Daily Track'!$L$3:$L$130,"&lt;="&amp;Chart!S2,'Daily Track'!$M$3:$M$130,""),0)</f>
        <v>0</v>
      </c>
      <c r="T6" s="18">
        <f ca="1">IF(T2&lt;=NOW(),COUNTIFS('Daily Track'!$L$3:$L$130,"&lt;="&amp;Chart!T2,'Daily Track'!$M$3:$M$130,"&gt;="&amp;T2)+COUNTIFS('Daily Track'!$L$3:$L$130,"&lt;="&amp;Chart!T2,'Daily Track'!$M$3:$M$130,""),0)</f>
        <v>0</v>
      </c>
      <c r="U6" s="18">
        <f ca="1">IF(U2&lt;=NOW(),COUNTIFS('Daily Track'!$L$3:$L$130,"&lt;="&amp;Chart!U2,'Daily Track'!$M$3:$M$130,"&gt;="&amp;U2)+COUNTIFS('Daily Track'!$L$3:$L$130,"&lt;="&amp;Chart!U2,'Daily Track'!$M$3:$M$130,""),0)</f>
        <v>0</v>
      </c>
      <c r="V6" s="18">
        <f ca="1">IF(V2&lt;=NOW(),COUNTIFS('Daily Track'!$L$3:$L$130,"&lt;="&amp;Chart!V2,'Daily Track'!$M$3:$M$130,"&gt;="&amp;V2)+COUNTIFS('Daily Track'!$L$3:$L$130,"&lt;="&amp;Chart!V2,'Daily Track'!$M$3:$M$130,""),0)</f>
        <v>0</v>
      </c>
      <c r="W6" s="18">
        <f ca="1">IF(W2&lt;=NOW(),COUNTIFS('Daily Track'!$L$3:$L$130,"&lt;="&amp;Chart!W2,'Daily Track'!$M$3:$M$130,"&gt;="&amp;W2)+COUNTIFS('Daily Track'!$L$3:$L$130,"&lt;="&amp;Chart!W2,'Daily Track'!$M$3:$M$130,""),0)</f>
        <v>0</v>
      </c>
      <c r="X6" s="18">
        <f ca="1">IF(X2&lt;=NOW(),COUNTIFS('Daily Track'!$L$3:$L$130,"&lt;="&amp;Chart!X2,'Daily Track'!$M$3:$M$130,"&gt;="&amp;X2)+COUNTIFS('Daily Track'!$L$3:$L$130,"&lt;="&amp;Chart!X2,'Daily Track'!$M$3:$M$130,""),0)</f>
        <v>0</v>
      </c>
      <c r="Y6" s="18">
        <f ca="1">IF(Y2&lt;=NOW(),COUNTIFS('Daily Track'!$L$3:$L$130,"&lt;="&amp;Chart!Y2,'Daily Track'!$M$3:$M$130,"&gt;="&amp;Y2)+COUNTIFS('Daily Track'!$L$3:$L$130,"&lt;="&amp;Chart!Y2,'Daily Track'!$M$3:$M$130,""),0)</f>
        <v>0</v>
      </c>
      <c r="Z6" s="18">
        <f ca="1">IF(Z2&lt;=NOW(),COUNTIFS('Daily Track'!$L$3:$L$130,"&lt;="&amp;Chart!Z2,'Daily Track'!$M$3:$M$130,"&gt;="&amp;Z2)+COUNTIFS('Daily Track'!$L$3:$L$130,"&lt;="&amp;Chart!Z2,'Daily Track'!$M$3:$M$130,""),0)</f>
        <v>0</v>
      </c>
      <c r="AA6" s="18">
        <f ca="1">IF(AA2&lt;=NOW(),COUNTIFS('Daily Track'!$L$3:$L$130,"&lt;="&amp;Chart!AA2,'Daily Track'!$M$3:$M$130,"&gt;="&amp;AA2)+COUNTIFS('Daily Track'!$L$3:$L$130,"&lt;="&amp;Chart!AA2,'Daily Track'!$M$3:$M$130,""),0)</f>
        <v>0</v>
      </c>
      <c r="AB6" s="18">
        <f ca="1">IF(AB2&lt;=NOW(),COUNTIFS('Daily Track'!$L$3:$L$130,"&lt;="&amp;Chart!AB2,'Daily Track'!$M$3:$M$130,"&gt;="&amp;AB2)+COUNTIFS('Daily Track'!$L$3:$L$130,"&lt;="&amp;Chart!AB2,'Daily Track'!$M$3:$M$130,""),0)</f>
        <v>0</v>
      </c>
      <c r="AC6" s="18">
        <f ca="1">IF(AC2&lt;=NOW(),COUNTIFS('Daily Track'!$L$3:$L$130,"&lt;="&amp;Chart!AC2,'Daily Track'!$M$3:$M$130,"&gt;="&amp;AC2)+COUNTIFS('Daily Track'!$L$3:$L$130,"&lt;="&amp;Chart!AC2,'Daily Track'!$M$3:$M$130,""),0)</f>
        <v>0</v>
      </c>
      <c r="AD6" s="18">
        <f ca="1">IF(AD2&lt;=NOW(),COUNTIFS('Daily Track'!$L$3:$L$130,"&lt;="&amp;Chart!AD2,'Daily Track'!$M$3:$M$130,"&gt;="&amp;AD2)+COUNTIFS('Daily Track'!$L$3:$L$130,"&lt;="&amp;Chart!AD2,'Daily Track'!$M$3:$M$130,""),0)</f>
        <v>0</v>
      </c>
      <c r="AE6" s="18">
        <f ca="1">IF(AE2&lt;=NOW(),COUNTIFS('Daily Track'!$L$3:$L$130,"&lt;="&amp;Chart!AE2,'Daily Track'!$M$3:$M$130,"&gt;="&amp;AE2)+COUNTIFS('Daily Track'!$L$3:$L$130,"&lt;="&amp;Chart!AE2,'Daily Track'!$M$3:$M$130,""),0)</f>
        <v>0</v>
      </c>
      <c r="AF6" s="18">
        <f ca="1">IF(AF2&lt;=NOW(),COUNTIFS('Daily Track'!$L$3:$L$130,"&lt;="&amp;Chart!AF2,'Daily Track'!$M$3:$M$130,"&gt;="&amp;AF2)+COUNTIFS('Daily Track'!$L$3:$L$130,"&lt;="&amp;Chart!AF2,'Daily Track'!$M$3:$M$130,""),0)</f>
        <v>0</v>
      </c>
      <c r="AG6" s="18">
        <f ca="1">IF(AG2&lt;=NOW(),COUNTIFS('Daily Track'!$L$3:$L$130,"&lt;="&amp;Chart!AG2,'Daily Track'!$M$3:$M$130,"&gt;="&amp;AG2)+COUNTIFS('Daily Track'!$L$3:$L$130,"&lt;="&amp;Chart!AG2,'Daily Track'!$M$3:$M$130,""),0)</f>
        <v>0</v>
      </c>
      <c r="AH6" s="18">
        <f ca="1">IF(AH2&lt;=NOW(),COUNTIFS('Daily Track'!$L$3:$L$130,"&lt;="&amp;Chart!AH2,'Daily Track'!$M$3:$M$130,"&gt;="&amp;AH2)+COUNTIFS('Daily Track'!$L$3:$L$130,"&lt;="&amp;Chart!AH2,'Daily Track'!$M$3:$M$130,""),0)</f>
        <v>0</v>
      </c>
      <c r="AI6" s="18">
        <f ca="1">IF(AI2&lt;=NOW(),COUNTIFS('Daily Track'!$L$3:$L$130,"&lt;="&amp;Chart!AI2,'Daily Track'!$M$3:$M$130,"&gt;="&amp;AI2)+COUNTIFS('Daily Track'!$L$3:$L$130,"&lt;="&amp;Chart!AI2,'Daily Track'!$M$3:$M$130,""),0)</f>
        <v>0</v>
      </c>
      <c r="AJ6" s="18">
        <f ca="1">IF(AJ2&lt;=NOW(),COUNTIFS('Daily Track'!$L$3:$L$130,"&lt;="&amp;Chart!AJ2,'Daily Track'!$M$3:$M$130,"&gt;="&amp;AJ2)+COUNTIFS('Daily Track'!$L$3:$L$130,"&lt;="&amp;Chart!AJ2,'Daily Track'!$M$3:$M$130,""),0)</f>
        <v>0</v>
      </c>
      <c r="AK6" s="18">
        <f ca="1">IF(AK2&lt;=NOW(),COUNTIFS('Daily Track'!$L$3:$L$130,"&lt;="&amp;Chart!AK2,'Daily Track'!$M$3:$M$130,"&gt;="&amp;AK2)+COUNTIFS('Daily Track'!$L$3:$L$130,"&lt;="&amp;Chart!AK2,'Daily Track'!$M$3:$M$130,""),0)</f>
        <v>0</v>
      </c>
      <c r="AL6" s="18">
        <f ca="1">IF(AL2&lt;=NOW(),COUNTIFS('Daily Track'!$L$3:$L$130,"&lt;="&amp;Chart!AL2,'Daily Track'!$M$3:$M$130,"&gt;="&amp;AL2)+COUNTIFS('Daily Track'!$L$3:$L$130,"&lt;="&amp;Chart!AL2,'Daily Track'!$M$3:$M$130,""),0)</f>
        <v>0</v>
      </c>
      <c r="AM6" s="18">
        <f ca="1">IF(AM2&lt;=NOW(),COUNTIFS('Daily Track'!$L$3:$L$130,"&lt;="&amp;Chart!AM2,'Daily Track'!$M$3:$M$130,"&gt;="&amp;AM2)+COUNTIFS('Daily Track'!$L$3:$L$130,"&lt;="&amp;Chart!AM2,'Daily Track'!$M$3:$M$130,""),0)</f>
        <v>0</v>
      </c>
      <c r="AN6" s="18">
        <f ca="1">IF(AN2&lt;=NOW(),COUNTIFS('Daily Track'!$L$3:$L$130,"&lt;="&amp;Chart!AN2,'Daily Track'!$M$3:$M$130,"&gt;="&amp;AN2)+COUNTIFS('Daily Track'!$L$3:$L$130,"&lt;="&amp;Chart!AN2,'Daily Track'!$M$3:$M$130,""),0)</f>
        <v>0</v>
      </c>
      <c r="AO6" s="18">
        <f ca="1">IF(AO2&lt;=NOW(),COUNTIFS('Daily Track'!$L$3:$L$130,"&lt;="&amp;Chart!AO2,'Daily Track'!$M$3:$M$130,"&gt;="&amp;AO2)+COUNTIFS('Daily Track'!$L$3:$L$130,"&lt;="&amp;Chart!AO2,'Daily Track'!$M$3:$M$130,""),0)</f>
        <v>0</v>
      </c>
      <c r="AP6" s="18">
        <f ca="1">IF(AP2&lt;=NOW(),COUNTIFS('Daily Track'!$L$3:$L$130,"&lt;="&amp;Chart!AP2,'Daily Track'!$M$3:$M$130,"&gt;="&amp;AP2)+COUNTIFS('Daily Track'!$L$3:$L$130,"&lt;="&amp;Chart!AP2,'Daily Track'!$M$3:$M$130,""),0)</f>
        <v>0</v>
      </c>
      <c r="AQ6" s="18">
        <f ca="1">IF(AQ2&lt;=NOW(),COUNTIFS('Daily Track'!$L$3:$L$130,"&lt;="&amp;Chart!AQ2,'Daily Track'!$M$3:$M$130,"&gt;="&amp;AQ2)+COUNTIFS('Daily Track'!$L$3:$L$130,"&lt;="&amp;Chart!AQ2,'Daily Track'!$M$3:$M$130,""),0)</f>
        <v>0</v>
      </c>
      <c r="AR6" s="18">
        <f ca="1">IF(AR2&lt;=NOW(),COUNTIFS('Daily Track'!$L$3:$L$130,"&lt;="&amp;Chart!AR2,'Daily Track'!$M$3:$M$130,"&gt;="&amp;AR2)+COUNTIFS('Daily Track'!$L$3:$L$130,"&lt;="&amp;Chart!AR2,'Daily Track'!$M$3:$M$130,""),0)</f>
        <v>0</v>
      </c>
      <c r="AS6" s="18">
        <f ca="1">IF(AS2&lt;=NOW(),COUNTIFS('Daily Track'!$L$3:$L$130,"&lt;="&amp;Chart!AS2,'Daily Track'!$M$3:$M$130,"&gt;="&amp;AS2)+COUNTIFS('Daily Track'!$L$3:$L$130,"&lt;="&amp;Chart!AS2,'Daily Track'!$M$3:$M$130,""),0)</f>
        <v>0</v>
      </c>
      <c r="AT6" s="18">
        <f ca="1">IF(AT2&lt;=NOW(),COUNTIFS('Daily Track'!$L$3:$L$130,"&lt;="&amp;Chart!AT2,'Daily Track'!$M$3:$M$130,"&gt;="&amp;AT2)+COUNTIFS('Daily Track'!$L$3:$L$130,"&lt;="&amp;Chart!AT2,'Daily Track'!$M$3:$M$130,""),0)</f>
        <v>0</v>
      </c>
      <c r="AU6" s="18">
        <f ca="1">IF(AU2&lt;=NOW(),COUNTIFS('Daily Track'!$L$3:$L$130,"&lt;="&amp;Chart!AU2,'Daily Track'!$M$3:$M$130,"&gt;="&amp;AU2)+COUNTIFS('Daily Track'!$L$3:$L$130,"&lt;="&amp;Chart!AU2,'Daily Track'!$M$3:$M$130,""),0)</f>
        <v>0</v>
      </c>
      <c r="AV6" s="18">
        <f ca="1">IF(AV2&lt;=NOW(),COUNTIFS('Daily Track'!$L$3:$L$130,"&lt;="&amp;Chart!AV2,'Daily Track'!$M$3:$M$130,"&gt;="&amp;AV2)+COUNTIFS('Daily Track'!$L$3:$L$130,"&lt;="&amp;Chart!AV2,'Daily Track'!$M$3:$M$130,""),0)</f>
        <v>0</v>
      </c>
      <c r="AW6" s="18">
        <f ca="1">IF(AW2&lt;=NOW(),COUNTIFS('Daily Track'!$L$3:$L$130,"&lt;="&amp;Chart!AW2,'Daily Track'!$M$3:$M$130,"&gt;="&amp;AW2)+COUNTIFS('Daily Track'!$L$3:$L$130,"&lt;="&amp;Chart!AW2,'Daily Track'!$M$3:$M$130,""),0)</f>
        <v>0</v>
      </c>
      <c r="AX6" s="18">
        <f ca="1">IF(AX2&lt;=NOW(),COUNTIFS('Daily Track'!$L$3:$L$130,"&lt;="&amp;Chart!AX2,'Daily Track'!$M$3:$M$130,"&gt;="&amp;AX2)+COUNTIFS('Daily Track'!$L$3:$L$130,"&lt;="&amp;Chart!AX2,'Daily Track'!$M$3:$M$130,""),0)</f>
        <v>0</v>
      </c>
      <c r="AY6" s="18">
        <f ca="1">IF(AY2&lt;=NOW(),COUNTIFS('Daily Track'!$L$3:$L$130,"&lt;="&amp;Chart!AY2,'Daily Track'!$M$3:$M$130,"&gt;="&amp;AY2)+COUNTIFS('Daily Track'!$L$3:$L$130,"&lt;="&amp;Chart!AY2,'Daily Track'!$M$3:$M$130,""),0)</f>
        <v>0</v>
      </c>
      <c r="AZ6" s="18">
        <f ca="1">IF(AZ2&lt;=NOW(),COUNTIFS('Daily Track'!$L$3:$L$130,"&lt;="&amp;Chart!AZ2,'Daily Track'!$M$3:$M$130,"&gt;="&amp;AZ2)+COUNTIFS('Daily Track'!$L$3:$L$130,"&lt;="&amp;Chart!AZ2,'Daily Track'!$M$3:$M$130,""),0)</f>
        <v>0</v>
      </c>
      <c r="BA6" s="18">
        <f ca="1">IF(BA2&lt;=NOW(),COUNTIFS('Daily Track'!$L$3:$L$130,"&lt;="&amp;Chart!BA2,'Daily Track'!$M$3:$M$130,"&gt;="&amp;BA2)+COUNTIFS('Daily Track'!$L$3:$L$130,"&lt;="&amp;Chart!BA2,'Daily Track'!$M$3:$M$130,""),0)</f>
        <v>0</v>
      </c>
      <c r="BB6" s="18">
        <f ca="1">IF(BB2&lt;=NOW(),COUNTIFS('Daily Track'!$L$3:$L$130,"&lt;="&amp;Chart!BB2,'Daily Track'!$M$3:$M$130,"&gt;="&amp;BB2)+COUNTIFS('Daily Track'!$L$3:$L$130,"&lt;="&amp;Chart!BB2,'Daily Track'!$M$3:$M$130,""),0)</f>
        <v>0</v>
      </c>
      <c r="BC6" s="18">
        <f ca="1">IF(BC2&lt;=NOW(),COUNTIFS('Daily Track'!$L$3:$L$130,"&lt;="&amp;Chart!BC2,'Daily Track'!$M$3:$M$130,"&gt;="&amp;BC2)+COUNTIFS('Daily Track'!$L$3:$L$130,"&lt;="&amp;Chart!BC2,'Daily Track'!$M$3:$M$130,""),0)</f>
        <v>0</v>
      </c>
      <c r="BD6" s="18">
        <f ca="1">IF(BD2&lt;=NOW(),COUNTIFS('Daily Track'!$L$3:$L$130,"&lt;="&amp;Chart!BD2,'Daily Track'!$M$3:$M$130,"&gt;="&amp;BD2)+COUNTIFS('Daily Track'!$L$3:$L$130,"&lt;="&amp;Chart!BD2,'Daily Track'!$M$3:$M$130,""),0)</f>
        <v>0</v>
      </c>
      <c r="BE6" s="18">
        <f ca="1">IF(BE2&lt;=NOW(),COUNTIFS('Daily Track'!$L$3:$L$130,"&lt;="&amp;Chart!BE2,'Daily Track'!$M$3:$M$130,"&gt;="&amp;BE2)+COUNTIFS('Daily Track'!$L$3:$L$130,"&lt;="&amp;Chart!BE2,'Daily Track'!$M$3:$M$130,""),0)</f>
        <v>0</v>
      </c>
      <c r="BF6" s="18">
        <f ca="1">IF(BF2&lt;=NOW(),COUNTIFS('Daily Track'!$L$3:$L$130,"&lt;="&amp;Chart!BF2,'Daily Track'!$M$3:$M$130,"&gt;="&amp;BF2)+COUNTIFS('Daily Track'!$L$3:$L$130,"&lt;="&amp;Chart!BF2,'Daily Track'!$M$3:$M$130,""),0)</f>
        <v>0</v>
      </c>
      <c r="BG6" s="18">
        <f ca="1">IF(BG2&lt;=NOW(),COUNTIFS('Daily Track'!$L$3:$L$130,"&lt;="&amp;Chart!BG2,'Daily Track'!$M$3:$M$130,"&gt;="&amp;BG2)+COUNTIFS('Daily Track'!$L$3:$L$130,"&lt;="&amp;Chart!BG2,'Daily Track'!$M$3:$M$130,""),0)</f>
        <v>0</v>
      </c>
      <c r="BH6" s="18">
        <f ca="1">IF(BH2&lt;=NOW(),COUNTIFS('Daily Track'!$L$3:$L$130,"&lt;="&amp;Chart!BH2,'Daily Track'!$M$3:$M$130,"&gt;="&amp;BH2)+COUNTIFS('Daily Track'!$L$3:$L$130,"&lt;="&amp;Chart!BH2,'Daily Track'!$M$3:$M$130,""),0)</f>
        <v>0</v>
      </c>
      <c r="BI6" s="18">
        <f ca="1">IF(BI2&lt;=NOW(),COUNTIFS('Daily Track'!$L$3:$L$130,"&lt;="&amp;Chart!BI2,'Daily Track'!$M$3:$M$130,"&gt;="&amp;BI2)+COUNTIFS('Daily Track'!$L$3:$L$130,"&lt;="&amp;Chart!BI2,'Daily Track'!$M$3:$M$130,""),0)</f>
        <v>0</v>
      </c>
      <c r="BJ6" s="18">
        <f ca="1">IF(BJ2&lt;=NOW(),COUNTIFS('Daily Track'!$L$3:$L$130,"&lt;="&amp;Chart!BJ2,'Daily Track'!$M$3:$M$130,"&gt;="&amp;BJ2)+COUNTIFS('Daily Track'!$L$3:$L$130,"&lt;="&amp;Chart!BJ2,'Daily Track'!$M$3:$M$130,""),0)</f>
        <v>0</v>
      </c>
      <c r="BK6" s="18">
        <f ca="1">IF(BK2&lt;=NOW(),COUNTIFS('Daily Track'!$L$3:$L$130,"&lt;="&amp;Chart!BK2,'Daily Track'!$M$3:$M$130,"&gt;="&amp;BK2)+COUNTIFS('Daily Track'!$L$3:$L$130,"&lt;="&amp;Chart!BK2,'Daily Track'!$M$3:$M$130,""),0)</f>
        <v>0</v>
      </c>
      <c r="BL6" s="18">
        <f ca="1">IF(BL2&lt;=NOW(),COUNTIFS('Daily Track'!$L$3:$L$130,"&lt;="&amp;Chart!BL2,'Daily Track'!$M$3:$M$130,"&gt;="&amp;BL2)+COUNTIFS('Daily Track'!$L$3:$L$130,"&lt;="&amp;Chart!BL2,'Daily Track'!$M$3:$M$130,""),0)</f>
        <v>0</v>
      </c>
      <c r="BM6" s="18">
        <f ca="1">IF(BM2&lt;=NOW(),COUNTIFS('Daily Track'!$L$3:$L$130,"&lt;="&amp;Chart!BM2,'Daily Track'!$M$3:$M$130,"&gt;="&amp;BM2)+COUNTIFS('Daily Track'!$L$3:$L$130,"&lt;="&amp;Chart!BM2,'Daily Track'!$M$3:$M$130,""),0)</f>
        <v>0</v>
      </c>
      <c r="BN6" s="18">
        <f ca="1">IF(BN2&lt;=NOW(),COUNTIFS('Daily Track'!$L$3:$L$130,"&lt;="&amp;Chart!BN2,'Daily Track'!$M$3:$M$130,"&gt;="&amp;BN2)+COUNTIFS('Daily Track'!$L$3:$L$130,"&lt;="&amp;Chart!BN2,'Daily Track'!$M$3:$M$130,""),0)</f>
        <v>0</v>
      </c>
      <c r="BO6" s="18">
        <f ca="1">IF(BO2&lt;=NOW(),COUNTIFS('Daily Track'!$L$3:$L$130,"&lt;="&amp;Chart!BO2,'Daily Track'!$M$3:$M$130,"&gt;="&amp;BO2)+COUNTIFS('Daily Track'!$L$3:$L$130,"&lt;="&amp;Chart!BO2,'Daily Track'!$M$3:$M$130,""),0)</f>
        <v>0</v>
      </c>
      <c r="BP6" s="18">
        <f ca="1">IF(BP2&lt;=NOW(),COUNTIFS('Daily Track'!$L$3:$L$130,"&lt;="&amp;Chart!BP2,'Daily Track'!$M$3:$M$130,"&gt;="&amp;BP2)+COUNTIFS('Daily Track'!$L$3:$L$130,"&lt;="&amp;Chart!BP2,'Daily Track'!$M$3:$M$130,""),0)</f>
        <v>0</v>
      </c>
      <c r="BQ6" s="18">
        <f ca="1">IF(BQ2&lt;=NOW(),COUNTIFS('Daily Track'!$L$3:$L$130,"&lt;="&amp;Chart!BQ2,'Daily Track'!$M$3:$M$130,"&gt;="&amp;BQ2)+COUNTIFS('Daily Track'!$L$3:$L$130,"&lt;="&amp;Chart!BQ2,'Daily Track'!$M$3:$M$130,""),0)</f>
        <v>0</v>
      </c>
      <c r="BR6" s="18">
        <f ca="1">IF(BR2&lt;=NOW(),COUNTIFS('Daily Track'!$L$3:$L$130,"&lt;="&amp;Chart!BR2,'Daily Track'!$M$3:$M$130,"&gt;="&amp;BR2)+COUNTIFS('Daily Track'!$L$3:$L$130,"&lt;="&amp;Chart!BR2,'Daily Track'!$M$3:$M$130,""),0)</f>
        <v>0</v>
      </c>
      <c r="BS6" s="18">
        <f ca="1">IF(BS2&lt;=NOW(),COUNTIFS('Daily Track'!$L$3:$L$130,"&lt;="&amp;Chart!BS2,'Daily Track'!$M$3:$M$130,"&gt;="&amp;BS2)+COUNTIFS('Daily Track'!$L$3:$L$130,"&lt;="&amp;Chart!BS2,'Daily Track'!$M$3:$M$130,""),0)</f>
        <v>0</v>
      </c>
      <c r="BT6" s="18">
        <f ca="1">IF(BT2&lt;=NOW(),COUNTIFS('Daily Track'!$L$3:$L$130,"&lt;="&amp;Chart!BT2,'Daily Track'!$M$3:$M$130,"&gt;="&amp;BT2)+COUNTIFS('Daily Track'!$L$3:$L$130,"&lt;="&amp;Chart!BT2,'Daily Track'!$M$3:$M$130,""),0)</f>
        <v>0</v>
      </c>
      <c r="BU6" s="18">
        <f ca="1">IF(BU2&lt;=NOW(),COUNTIFS('Daily Track'!$L$3:$L$130,"&lt;="&amp;Chart!BU2,'Daily Track'!$M$3:$M$130,"&gt;="&amp;BU2)+COUNTIFS('Daily Track'!$L$3:$L$130,"&lt;="&amp;Chart!BU2,'Daily Track'!$M$3:$M$130,""),0)</f>
        <v>0</v>
      </c>
      <c r="BV6" s="18">
        <f ca="1">IF(BV2&lt;=NOW(),COUNTIFS('Daily Track'!$L$3:$L$130,"&lt;="&amp;Chart!BV2,'Daily Track'!$M$3:$M$130,"&gt;="&amp;BV2)+COUNTIFS('Daily Track'!$L$3:$L$130,"&lt;="&amp;Chart!BV2,'Daily Track'!$M$3:$M$130,""),0)</f>
        <v>0</v>
      </c>
      <c r="BW6" s="18">
        <f ca="1">IF(BW2&lt;=NOW(),COUNTIFS('Daily Track'!$L$3:$L$130,"&lt;="&amp;Chart!BW2,'Daily Track'!$M$3:$M$130,"&gt;="&amp;BW2)+COUNTIFS('Daily Track'!$L$3:$L$130,"&lt;="&amp;Chart!BW2,'Daily Track'!$M$3:$M$130,""),0)</f>
        <v>0</v>
      </c>
      <c r="BX6" s="18">
        <f ca="1">IF(BX2&lt;=NOW(),COUNTIFS('Daily Track'!$L$3:$L$130,"&lt;="&amp;Chart!BX2,'Daily Track'!$M$3:$M$130,"&gt;="&amp;BX2)+COUNTIFS('Daily Track'!$L$3:$L$130,"&lt;="&amp;Chart!BX2,'Daily Track'!$M$3:$M$130,""),0)</f>
        <v>0</v>
      </c>
      <c r="BY6" s="18">
        <f ca="1">IF(BY2&lt;=NOW(),COUNTIFS('Daily Track'!$L$3:$L$130,"&lt;="&amp;Chart!BY2,'Daily Track'!$M$3:$M$130,"&gt;="&amp;BY2)+COUNTIFS('Daily Track'!$L$3:$L$130,"&lt;="&amp;Chart!BY2,'Daily Track'!$M$3:$M$130,""),0)</f>
        <v>0</v>
      </c>
      <c r="BZ6" s="18">
        <f ca="1">IF(BZ2&lt;=NOW(),COUNTIFS('Daily Track'!$L$3:$L$130,"&lt;="&amp;Chart!BZ2,'Daily Track'!$M$3:$M$130,"&gt;="&amp;BZ2)+COUNTIFS('Daily Track'!$L$3:$L$130,"&lt;="&amp;Chart!BZ2,'Daily Track'!$M$3:$M$130,""),0)</f>
        <v>0</v>
      </c>
      <c r="CA6" s="18">
        <f ca="1">IF(CA2&lt;=NOW(),COUNTIFS('Daily Track'!$L$3:$L$130,"&lt;="&amp;Chart!CA2,'Daily Track'!$M$3:$M$130,"&gt;="&amp;CA2)+COUNTIFS('Daily Track'!$L$3:$L$130,"&lt;="&amp;Chart!CA2,'Daily Track'!$M$3:$M$130,""),0)</f>
        <v>0</v>
      </c>
      <c r="CB6" s="18">
        <f ca="1">IF(CB2&lt;=NOW(),COUNTIFS('Daily Track'!$L$3:$L$130,"&lt;="&amp;Chart!CB2,'Daily Track'!$M$3:$M$130,"&gt;="&amp;CB2)+COUNTIFS('Daily Track'!$L$3:$L$130,"&lt;="&amp;Chart!CB2,'Daily Track'!$M$3:$M$130,""),0)</f>
        <v>0</v>
      </c>
      <c r="CC6" s="18">
        <f ca="1">IF(CC2&lt;=NOW(),COUNTIFS('Daily Track'!$L$3:$L$130,"&lt;="&amp;Chart!CC2,'Daily Track'!$M$3:$M$130,"&gt;="&amp;CC2)+COUNTIFS('Daily Track'!$L$3:$L$130,"&lt;="&amp;Chart!CC2,'Daily Track'!$M$3:$M$130,""),0)</f>
        <v>0</v>
      </c>
      <c r="CD6" s="18">
        <f ca="1">IF(CD2&lt;=NOW(),COUNTIFS('Daily Track'!$L$3:$L$130,"&lt;="&amp;Chart!CD2,'Daily Track'!$M$3:$M$130,"&gt;="&amp;CD2)+COUNTIFS('Daily Track'!$L$3:$L$130,"&lt;="&amp;Chart!CD2,'Daily Track'!$M$3:$M$130,""),0)</f>
        <v>0</v>
      </c>
      <c r="CE6" s="18">
        <f ca="1">IF(CE2&lt;=NOW(),COUNTIFS('Daily Track'!$L$3:$L$130,"&lt;="&amp;Chart!CE2,'Daily Track'!$M$3:$M$130,"&gt;="&amp;CE2)+COUNTIFS('Daily Track'!$L$3:$L$130,"&lt;="&amp;Chart!CE2,'Daily Track'!$M$3:$M$130,""),0)</f>
        <v>0</v>
      </c>
      <c r="CF6" s="18">
        <f ca="1">IF(CF2&lt;=NOW(),COUNTIFS('Daily Track'!$L$3:$L$130,"&lt;="&amp;Chart!CF2,'Daily Track'!$M$3:$M$130,"&gt;="&amp;CF2)+COUNTIFS('Daily Track'!$L$3:$L$130,"&lt;="&amp;Chart!CF2,'Daily Track'!$M$3:$M$130,""),0)</f>
        <v>0</v>
      </c>
      <c r="CG6" s="18">
        <f ca="1">IF(CG2&lt;=NOW(),COUNTIFS('Daily Track'!$L$3:$L$130,"&lt;="&amp;Chart!CG2,'Daily Track'!$M$3:$M$130,"&gt;="&amp;CG2)+COUNTIFS('Daily Track'!$L$3:$L$130,"&lt;="&amp;Chart!CG2,'Daily Track'!$M$3:$M$130,""),0)</f>
        <v>0</v>
      </c>
      <c r="CH6" s="18">
        <f ca="1">IF(CH2&lt;=NOW(),COUNTIFS('Daily Track'!$L$3:$L$130,"&lt;="&amp;Chart!CH2,'Daily Track'!$M$3:$M$130,"&gt;="&amp;CH2)+COUNTIFS('Daily Track'!$L$3:$L$130,"&lt;="&amp;Chart!CH2,'Daily Track'!$M$3:$M$130,""),0)</f>
        <v>0</v>
      </c>
      <c r="CI6" s="18">
        <f ca="1">IF(CI2&lt;=NOW(),COUNTIFS('Daily Track'!$L$3:$L$130,"&lt;="&amp;Chart!CI2,'Daily Track'!$M$3:$M$130,"&gt;="&amp;CI2)+COUNTIFS('Daily Track'!$L$3:$L$130,"&lt;="&amp;Chart!CI2,'Daily Track'!$M$3:$M$130,""),0)</f>
        <v>0</v>
      </c>
      <c r="CJ6" s="18">
        <f ca="1">IF(CJ2&lt;=NOW(),COUNTIFS('Daily Track'!$L$3:$L$130,"&lt;="&amp;Chart!CJ2,'Daily Track'!$M$3:$M$130,"&gt;="&amp;CJ2)+COUNTIFS('Daily Track'!$L$3:$L$130,"&lt;="&amp;Chart!CJ2,'Daily Track'!$M$3:$M$130,""),0)</f>
        <v>0</v>
      </c>
      <c r="CK6" s="18">
        <f ca="1">IF(CK2&lt;=NOW(),COUNTIFS('Daily Track'!$L$3:$L$130,"&lt;="&amp;Chart!CK2,'Daily Track'!$M$3:$M$130,"&gt;="&amp;CK2)+COUNTIFS('Daily Track'!$L$3:$L$130,"&lt;="&amp;Chart!CK2,'Daily Track'!$M$3:$M$130,""),0)</f>
        <v>0</v>
      </c>
      <c r="CL6" s="18">
        <f ca="1">IF(CL2&lt;=NOW(),COUNTIFS('Daily Track'!$L$3:$L$130,"&lt;="&amp;Chart!CL2,'Daily Track'!$M$3:$M$130,"&gt;="&amp;CL2)+COUNTIFS('Daily Track'!$L$3:$L$130,"&lt;="&amp;Chart!CL2,'Daily Track'!$M$3:$M$130,""),0)</f>
        <v>0</v>
      </c>
      <c r="CM6" s="18">
        <f ca="1">IF(CM2&lt;=NOW(),COUNTIFS('Daily Track'!$L$3:$L$130,"&lt;="&amp;Chart!CM2,'Daily Track'!$M$3:$M$130,"&gt;="&amp;CM2)+COUNTIFS('Daily Track'!$L$3:$L$130,"&lt;="&amp;Chart!CM2,'Daily Track'!$M$3:$M$130,""),0)</f>
        <v>0</v>
      </c>
      <c r="CN6" s="18">
        <f ca="1">IF(CN2&lt;=NOW(),COUNTIFS('Daily Track'!$L$3:$L$130,"&lt;="&amp;Chart!CN2,'Daily Track'!$M$3:$M$130,"&gt;="&amp;CN2)+COUNTIFS('Daily Track'!$L$3:$L$130,"&lt;="&amp;Chart!CN2,'Daily Track'!$M$3:$M$130,""),0)</f>
        <v>0</v>
      </c>
      <c r="CO6" s="18">
        <f ca="1">IF(CO2&lt;=NOW(),COUNTIFS('Daily Track'!$L$3:$L$130,"&lt;="&amp;Chart!CO2,'Daily Track'!$M$3:$M$130,"&gt;="&amp;CO2)+COUNTIFS('Daily Track'!$L$3:$L$130,"&lt;="&amp;Chart!CO2,'Daily Track'!$M$3:$M$130,""),0)</f>
        <v>0</v>
      </c>
      <c r="CP6" s="18">
        <f ca="1">IF(CP2&lt;=NOW(),COUNTIFS('Daily Track'!$L$3:$L$130,"&lt;="&amp;Chart!CP2,'Daily Track'!$M$3:$M$130,"&gt;="&amp;CP2)+COUNTIFS('Daily Track'!$L$3:$L$130,"&lt;="&amp;Chart!CP2,'Daily Track'!$M$3:$M$130,""),0)</f>
        <v>0</v>
      </c>
      <c r="CQ6" s="18">
        <f ca="1">IF(CQ2&lt;=NOW(),COUNTIFS('Daily Track'!$L$3:$L$130,"&lt;="&amp;Chart!CQ2,'Daily Track'!$M$3:$M$130,"&gt;="&amp;CQ2)+COUNTIFS('Daily Track'!$L$3:$L$130,"&lt;="&amp;Chart!CQ2,'Daily Track'!$M$3:$M$130,""),0)</f>
        <v>0</v>
      </c>
      <c r="CR6" s="18">
        <f ca="1">IF(CR2&lt;=NOW(),COUNTIFS('Daily Track'!$L$3:$L$130,"&lt;="&amp;Chart!CR2,'Daily Track'!$M$3:$M$130,"&gt;="&amp;CR2)+COUNTIFS('Daily Track'!$L$3:$L$130,"&lt;="&amp;Chart!CR2,'Daily Track'!$M$3:$M$130,""),0)</f>
        <v>0</v>
      </c>
      <c r="CS6" s="18">
        <f ca="1">IF(CS2&lt;=NOW(),COUNTIFS('Daily Track'!$L$3:$L$130,"&lt;="&amp;Chart!CS2,'Daily Track'!$M$3:$M$130,"&gt;="&amp;CS2)+COUNTIFS('Daily Track'!$L$3:$L$130,"&lt;="&amp;Chart!CS2,'Daily Track'!$M$3:$M$130,""),0)</f>
        <v>0</v>
      </c>
      <c r="CT6" s="18">
        <f ca="1">IF(CT2&lt;=NOW(),COUNTIFS('Daily Track'!$L$3:$L$130,"&lt;="&amp;Chart!CT2,'Daily Track'!$M$3:$M$130,"&gt;="&amp;CT2)+COUNTIFS('Daily Track'!$L$3:$L$130,"&lt;="&amp;Chart!CT2,'Daily Track'!$M$3:$M$130,""),0)</f>
        <v>0</v>
      </c>
      <c r="CU6" s="18">
        <f ca="1">IF(CU2&lt;=NOW(),COUNTIFS('Daily Track'!$L$3:$L$130,"&lt;="&amp;Chart!CU2,'Daily Track'!$M$3:$M$130,"&gt;="&amp;CU2)+COUNTIFS('Daily Track'!$L$3:$L$130,"&lt;="&amp;Chart!CU2,'Daily Track'!$M$3:$M$130,""),0)</f>
        <v>0</v>
      </c>
      <c r="CV6" s="18">
        <f ca="1">IF(CV2&lt;=NOW(),COUNTIFS('Daily Track'!$L$3:$L$130,"&lt;="&amp;Chart!CV2,'Daily Track'!$M$3:$M$130,"&gt;="&amp;CV2)+COUNTIFS('Daily Track'!$L$3:$L$130,"&lt;="&amp;Chart!CV2,'Daily Track'!$M$3:$M$130,""),0)</f>
        <v>0</v>
      </c>
    </row>
    <row r="7" spans="1:128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128">
      <c r="A8" s="9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128">
      <c r="A9" s="9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128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</row>
    <row r="11" spans="1:128">
      <c r="A11" s="9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</row>
    <row r="12" spans="1:128">
      <c r="A12" s="9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</row>
    <row r="13" spans="1:128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</row>
    <row r="14" spans="1:128">
      <c r="A14" s="9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</row>
    <row r="15" spans="1:128">
      <c r="A15" s="7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1:128">
      <c r="A16" s="9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</row>
    <row r="17" spans="1:100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</row>
    <row r="22" spans="1:100" ht="8.25" customHeight="1"/>
    <row r="23" spans="1:100">
      <c r="A23" s="20" t="s">
        <v>126</v>
      </c>
    </row>
    <row r="24" spans="1:100" s="19" customFormat="1" ht="10.5" customHeight="1">
      <c r="A24" s="18" t="s">
        <v>16</v>
      </c>
      <c r="B24" s="18">
        <f>COUNTIFS('Daily Track'!$G$3:$G$130,Chart!$A$23,'Daily Track'!$H$3:$H$130,"&lt;="&amp;Chart!B2,'Daily Track'!$I$3:$I$130,"&gt;="&amp;B2)</f>
        <v>0</v>
      </c>
      <c r="C24" s="18">
        <f>COUNTIFS('Daily Track'!$G$3:$G$130,Chart!$A$23,'Daily Track'!$H$3:$H$130,"&lt;="&amp;Chart!C2,'Daily Track'!$I$3:$I$130,"&gt;="&amp;C2)</f>
        <v>0</v>
      </c>
      <c r="D24" s="18">
        <f>COUNTIFS('Daily Track'!$G$3:$G$130,Chart!$A$23,'Daily Track'!$H$3:$H$130,"&lt;="&amp;Chart!D2,'Daily Track'!$I$3:$I$130,"&gt;="&amp;D2)</f>
        <v>0</v>
      </c>
      <c r="E24" s="18">
        <f>COUNTIFS('Daily Track'!$G$3:$G$130,Chart!$A$23,'Daily Track'!$H$3:$H$130,"&lt;="&amp;Chart!E2,'Daily Track'!$I$3:$I$130,"&gt;="&amp;E2)</f>
        <v>0</v>
      </c>
      <c r="F24" s="18">
        <f>COUNTIFS('Daily Track'!$G$3:$G$130,Chart!$A$23,'Daily Track'!$H$3:$H$130,"&lt;="&amp;Chart!F2,'Daily Track'!$I$3:$I$130,"&gt;="&amp;F2)</f>
        <v>0</v>
      </c>
      <c r="G24" s="18">
        <f>COUNTIFS('Daily Track'!$G$3:$G$130,Chart!$A$23,'Daily Track'!$H$3:$H$130,"&lt;="&amp;Chart!G2,'Daily Track'!$I$3:$I$130,"&gt;="&amp;G2)</f>
        <v>0</v>
      </c>
      <c r="H24" s="18">
        <f>COUNTIFS('Daily Track'!$G$3:$G$130,Chart!$A$23,'Daily Track'!$H$3:$H$130,"&lt;="&amp;Chart!H2,'Daily Track'!$I$3:$I$130,"&gt;="&amp;H2)</f>
        <v>0</v>
      </c>
      <c r="I24" s="18">
        <f>COUNTIFS('Daily Track'!$G$3:$G$130,Chart!$A$23,'Daily Track'!$H$3:$H$130,"&lt;="&amp;Chart!I2,'Daily Track'!$I$3:$I$130,"&gt;="&amp;I2)</f>
        <v>0</v>
      </c>
      <c r="J24" s="18">
        <f>COUNTIFS('Daily Track'!$G$3:$G$130,Chart!$A$23,'Daily Track'!$H$3:$H$130,"&lt;="&amp;Chart!J2,'Daily Track'!$I$3:$I$130,"&gt;="&amp;J2)</f>
        <v>0</v>
      </c>
      <c r="K24" s="18">
        <f>COUNTIFS('Daily Track'!$G$3:$G$130,Chart!$A$23,'Daily Track'!$H$3:$H$130,"&lt;="&amp;Chart!K2,'Daily Track'!$I$3:$I$130,"&gt;="&amp;K2)</f>
        <v>0</v>
      </c>
      <c r="L24" s="18">
        <f>COUNTIFS('Daily Track'!$G$3:$G$130,Chart!$A$23,'Daily Track'!$H$3:$H$130,"&lt;="&amp;Chart!L2,'Daily Track'!$I$3:$I$130,"&gt;="&amp;L2)</f>
        <v>0</v>
      </c>
      <c r="M24" s="18">
        <f>COUNTIFS('Daily Track'!$G$3:$G$130,Chart!$A$23,'Daily Track'!$H$3:$H$130,"&lt;="&amp;Chart!M2,'Daily Track'!$I$3:$I$130,"&gt;="&amp;M2)</f>
        <v>0</v>
      </c>
      <c r="N24" s="18">
        <f>COUNTIFS('Daily Track'!$G$3:$G$130,Chart!$A$23,'Daily Track'!$H$3:$H$130,"&lt;="&amp;Chart!N2,'Daily Track'!$I$3:$I$130,"&gt;="&amp;N2)</f>
        <v>0</v>
      </c>
      <c r="O24" s="18">
        <f>COUNTIFS('Daily Track'!$G$3:$G$130,Chart!$A$23,'Daily Track'!$H$3:$H$130,"&lt;="&amp;Chart!O2,'Daily Track'!$I$3:$I$130,"&gt;="&amp;O2)</f>
        <v>0</v>
      </c>
      <c r="P24" s="18">
        <f>COUNTIFS('Daily Track'!$G$3:$G$130,Chart!$A$23,'Daily Track'!$H$3:$H$130,"&lt;="&amp;Chart!P2,'Daily Track'!$I$3:$I$130,"&gt;="&amp;P2)</f>
        <v>0</v>
      </c>
      <c r="Q24" s="18">
        <f>COUNTIFS('Daily Track'!$G$3:$G$130,Chart!$A$23,'Daily Track'!$H$3:$H$130,"&lt;="&amp;Chart!Q2,'Daily Track'!$I$3:$I$130,"&gt;="&amp;Q2)</f>
        <v>0</v>
      </c>
      <c r="R24" s="18">
        <f>COUNTIFS('Daily Track'!$G$3:$G$130,Chart!$A$23,'Daily Track'!$H$3:$H$130,"&lt;="&amp;Chart!R2,'Daily Track'!$I$3:$I$130,"&gt;="&amp;R2)</f>
        <v>0</v>
      </c>
      <c r="S24" s="18">
        <f>COUNTIFS('Daily Track'!$G$3:$G$130,Chart!$A$23,'Daily Track'!$H$3:$H$130,"&lt;="&amp;Chart!S2,'Daily Track'!$I$3:$I$130,"&gt;="&amp;S2)</f>
        <v>0</v>
      </c>
      <c r="T24" s="18">
        <f>COUNTIFS('Daily Track'!$G$3:$G$130,Chart!$A$23,'Daily Track'!$H$3:$H$130,"&lt;="&amp;Chart!T2,'Daily Track'!$I$3:$I$130,"&gt;="&amp;T2)</f>
        <v>0</v>
      </c>
      <c r="U24" s="18">
        <f>COUNTIFS('Daily Track'!$G$3:$G$130,Chart!$A$23,'Daily Track'!$H$3:$H$130,"&lt;="&amp;Chart!U2,'Daily Track'!$I$3:$I$130,"&gt;="&amp;U2)</f>
        <v>0</v>
      </c>
      <c r="V24" s="18">
        <f>COUNTIFS('Daily Track'!$G$3:$G$130,Chart!$A$23,'Daily Track'!$H$3:$H$130,"&lt;="&amp;Chart!V2,'Daily Track'!$I$3:$I$130,"&gt;="&amp;V2)</f>
        <v>0</v>
      </c>
      <c r="W24" s="18">
        <f>COUNTIFS('Daily Track'!$G$3:$G$130,Chart!$A$23,'Daily Track'!$H$3:$H$130,"&lt;="&amp;Chart!W2,'Daily Track'!$I$3:$I$130,"&gt;="&amp;W2)</f>
        <v>0</v>
      </c>
      <c r="X24" s="18">
        <f>COUNTIFS('Daily Track'!$G$3:$G$130,Chart!$A$23,'Daily Track'!$H$3:$H$130,"&lt;="&amp;Chart!X2,'Daily Track'!$I$3:$I$130,"&gt;="&amp;X2)</f>
        <v>0</v>
      </c>
      <c r="Y24" s="18">
        <f>COUNTIFS('Daily Track'!$G$3:$G$130,Chart!$A$23,'Daily Track'!$H$3:$H$130,"&lt;="&amp;Chart!Y2,'Daily Track'!$I$3:$I$130,"&gt;="&amp;Y2)</f>
        <v>0</v>
      </c>
      <c r="Z24" s="18">
        <f>COUNTIFS('Daily Track'!$G$3:$G$130,Chart!$A$23,'Daily Track'!$H$3:$H$130,"&lt;="&amp;Chart!Z2,'Daily Track'!$I$3:$I$130,"&gt;="&amp;Z2)</f>
        <v>0</v>
      </c>
      <c r="AA24" s="18">
        <f>COUNTIFS('Daily Track'!$G$3:$G$130,Chart!$A$23,'Daily Track'!$H$3:$H$130,"&lt;="&amp;Chart!AA2,'Daily Track'!$I$3:$I$130,"&gt;="&amp;AA2)</f>
        <v>0</v>
      </c>
      <c r="AB24" s="18">
        <f>COUNTIFS('Daily Track'!$G$3:$G$130,Chart!$A$23,'Daily Track'!$H$3:$H$130,"&lt;="&amp;Chart!AB2,'Daily Track'!$I$3:$I$130,"&gt;="&amp;AB2)</f>
        <v>0</v>
      </c>
      <c r="AC24" s="18">
        <f>COUNTIFS('Daily Track'!$G$3:$G$130,Chart!$A$23,'Daily Track'!$H$3:$H$130,"&lt;="&amp;Chart!AC2,'Daily Track'!$I$3:$I$130,"&gt;="&amp;AC2)</f>
        <v>0</v>
      </c>
      <c r="AD24" s="18">
        <f>COUNTIFS('Daily Track'!$G$3:$G$130,Chart!$A$23,'Daily Track'!$H$3:$H$130,"&lt;="&amp;Chart!AD2,'Daily Track'!$I$3:$I$130,"&gt;="&amp;AD2)</f>
        <v>0</v>
      </c>
      <c r="AE24" s="18">
        <f>COUNTIFS('Daily Track'!$G$3:$G$130,Chart!$A$23,'Daily Track'!$H$3:$H$130,"&lt;="&amp;Chart!AE2,'Daily Track'!$I$3:$I$130,"&gt;="&amp;AE2)</f>
        <v>0</v>
      </c>
      <c r="AF24" s="18">
        <f>COUNTIFS('Daily Track'!$G$3:$G$130,Chart!$A$23,'Daily Track'!$H$3:$H$130,"&lt;="&amp;Chart!AF2,'Daily Track'!$I$3:$I$130,"&gt;="&amp;AF2)</f>
        <v>0</v>
      </c>
      <c r="AG24" s="18">
        <f>COUNTIFS('Daily Track'!$G$3:$G$130,Chart!$A$23,'Daily Track'!$H$3:$H$130,"&lt;="&amp;Chart!AG2,'Daily Track'!$I$3:$I$130,"&gt;="&amp;AG2)</f>
        <v>0</v>
      </c>
      <c r="AH24" s="18">
        <f>COUNTIFS('Daily Track'!$G$3:$G$130,Chart!$A$23,'Daily Track'!$H$3:$H$130,"&lt;="&amp;Chart!AH2,'Daily Track'!$I$3:$I$130,"&gt;="&amp;AH2)</f>
        <v>0</v>
      </c>
      <c r="AI24" s="18">
        <f>COUNTIFS('Daily Track'!$G$3:$G$130,Chart!$A$23,'Daily Track'!$H$3:$H$130,"&lt;="&amp;Chart!AI2,'Daily Track'!$I$3:$I$130,"&gt;="&amp;AI2)</f>
        <v>0</v>
      </c>
      <c r="AJ24" s="18">
        <f>COUNTIFS('Daily Track'!$G$3:$G$130,Chart!$A$23,'Daily Track'!$H$3:$H$130,"&lt;="&amp;Chart!AJ2,'Daily Track'!$I$3:$I$130,"&gt;="&amp;AJ2)</f>
        <v>0</v>
      </c>
      <c r="AK24" s="18">
        <f>COUNTIFS('Daily Track'!$G$3:$G$130,Chart!$A$23,'Daily Track'!$H$3:$H$130,"&lt;="&amp;Chart!AK2,'Daily Track'!$I$3:$I$130,"&gt;="&amp;AK2)</f>
        <v>0</v>
      </c>
      <c r="AL24" s="18">
        <f>COUNTIFS('Daily Track'!$G$3:$G$130,Chart!$A$23,'Daily Track'!$H$3:$H$130,"&lt;="&amp;Chart!AL2,'Daily Track'!$I$3:$I$130,"&gt;="&amp;AL2)</f>
        <v>0</v>
      </c>
      <c r="AM24" s="18">
        <f>COUNTIFS('Daily Track'!$G$3:$G$130,Chart!$A$23,'Daily Track'!$H$3:$H$130,"&lt;="&amp;Chart!AM2,'Daily Track'!$I$3:$I$130,"&gt;="&amp;AM2)</f>
        <v>0</v>
      </c>
      <c r="AN24" s="18">
        <f>COUNTIFS('Daily Track'!$G$3:$G$130,Chart!$A$23,'Daily Track'!$H$3:$H$130,"&lt;="&amp;Chart!AN2,'Daily Track'!$I$3:$I$130,"&gt;="&amp;AN2)</f>
        <v>0</v>
      </c>
      <c r="AO24" s="18">
        <f>COUNTIFS('Daily Track'!$G$3:$G$130,Chart!$A$23,'Daily Track'!$H$3:$H$130,"&lt;="&amp;Chart!AO2,'Daily Track'!$I$3:$I$130,"&gt;="&amp;AO2)</f>
        <v>0</v>
      </c>
      <c r="AP24" s="18">
        <f>COUNTIFS('Daily Track'!$G$3:$G$130,Chart!$A$23,'Daily Track'!$H$3:$H$130,"&lt;="&amp;Chart!AP2,'Daily Track'!$I$3:$I$130,"&gt;="&amp;AP2)</f>
        <v>0</v>
      </c>
      <c r="AQ24" s="18">
        <f>COUNTIFS('Daily Track'!$G$3:$G$130,Chart!$A$23,'Daily Track'!$H$3:$H$130,"&lt;="&amp;Chart!AQ2,'Daily Track'!$I$3:$I$130,"&gt;="&amp;AQ2)</f>
        <v>0</v>
      </c>
      <c r="AR24" s="18">
        <f>COUNTIFS('Daily Track'!$G$3:$G$130,Chart!$A$23,'Daily Track'!$H$3:$H$130,"&lt;="&amp;Chart!AR2,'Daily Track'!$I$3:$I$130,"&gt;="&amp;AR2)</f>
        <v>0</v>
      </c>
      <c r="AS24" s="18">
        <f>COUNTIFS('Daily Track'!$G$3:$G$130,Chart!$A$23,'Daily Track'!$H$3:$H$130,"&lt;="&amp;Chart!AS2,'Daily Track'!$I$3:$I$130,"&gt;="&amp;AS2)</f>
        <v>0</v>
      </c>
      <c r="AT24" s="18">
        <f>COUNTIFS('Daily Track'!$G$3:$G$130,Chart!$A$23,'Daily Track'!$H$3:$H$130,"&lt;="&amp;Chart!AT2,'Daily Track'!$I$3:$I$130,"&gt;="&amp;AT2)</f>
        <v>0</v>
      </c>
      <c r="AU24" s="18">
        <f>COUNTIFS('Daily Track'!$G$3:$G$130,Chart!$A$23,'Daily Track'!$H$3:$H$130,"&lt;="&amp;Chart!AU2,'Daily Track'!$I$3:$I$130,"&gt;="&amp;AU2)</f>
        <v>0</v>
      </c>
      <c r="AV24" s="18">
        <f>COUNTIFS('Daily Track'!$G$3:$G$130,Chart!$A$23,'Daily Track'!$H$3:$H$130,"&lt;="&amp;Chart!AV2,'Daily Track'!$I$3:$I$130,"&gt;="&amp;AV2)</f>
        <v>0</v>
      </c>
      <c r="AW24" s="18">
        <f>COUNTIFS('Daily Track'!$G$3:$G$130,Chart!$A$23,'Daily Track'!$H$3:$H$130,"&lt;="&amp;Chart!AW2,'Daily Track'!$I$3:$I$130,"&gt;="&amp;AW2)</f>
        <v>0</v>
      </c>
      <c r="AX24" s="18">
        <f>COUNTIFS('Daily Track'!$G$3:$G$130,Chart!$A$23,'Daily Track'!$H$3:$H$130,"&lt;="&amp;Chart!AX2,'Daily Track'!$I$3:$I$130,"&gt;="&amp;AX2)</f>
        <v>0</v>
      </c>
      <c r="AY24" s="18">
        <f>COUNTIFS('Daily Track'!$G$3:$G$130,Chart!$A$23,'Daily Track'!$H$3:$H$130,"&lt;="&amp;Chart!AY2,'Daily Track'!$I$3:$I$130,"&gt;="&amp;AY2)</f>
        <v>0</v>
      </c>
      <c r="AZ24" s="18">
        <f>COUNTIFS('Daily Track'!$G$3:$G$130,Chart!$A$23,'Daily Track'!$H$3:$H$130,"&lt;="&amp;Chart!AZ2,'Daily Track'!$I$3:$I$130,"&gt;="&amp;AZ2)</f>
        <v>0</v>
      </c>
      <c r="BA24" s="18">
        <f>COUNTIFS('Daily Track'!$G$3:$G$130,Chart!$A$23,'Daily Track'!$H$3:$H$130,"&lt;="&amp;Chart!BA2,'Daily Track'!$I$3:$I$130,"&gt;="&amp;BA2)</f>
        <v>0</v>
      </c>
      <c r="BB24" s="18">
        <f>COUNTIFS('Daily Track'!$G$3:$G$130,Chart!$A$23,'Daily Track'!$H$3:$H$130,"&lt;="&amp;Chart!BB2,'Daily Track'!$I$3:$I$130,"&gt;="&amp;BB2)</f>
        <v>0</v>
      </c>
      <c r="BC24" s="18">
        <f>COUNTIFS('Daily Track'!$G$3:$G$130,Chart!$A$23,'Daily Track'!$H$3:$H$130,"&lt;="&amp;Chart!BC2,'Daily Track'!$I$3:$I$130,"&gt;="&amp;BC2)</f>
        <v>0</v>
      </c>
      <c r="BD24" s="18">
        <f>COUNTIFS('Daily Track'!$G$3:$G$130,Chart!$A$23,'Daily Track'!$H$3:$H$130,"&lt;="&amp;Chart!BD2,'Daily Track'!$I$3:$I$130,"&gt;="&amp;BD2)</f>
        <v>0</v>
      </c>
      <c r="BE24" s="18">
        <f>COUNTIFS('Daily Track'!$G$3:$G$130,Chart!$A$23,'Daily Track'!$H$3:$H$130,"&lt;="&amp;Chart!BE2,'Daily Track'!$I$3:$I$130,"&gt;="&amp;BE2)</f>
        <v>0</v>
      </c>
      <c r="BF24" s="18">
        <f>COUNTIFS('Daily Track'!$G$3:$G$130,Chart!$A$23,'Daily Track'!$H$3:$H$130,"&lt;="&amp;Chart!BF2,'Daily Track'!$I$3:$I$130,"&gt;="&amp;BF2)</f>
        <v>0</v>
      </c>
      <c r="BG24" s="18">
        <f>COUNTIFS('Daily Track'!$G$3:$G$130,Chart!$A$23,'Daily Track'!$H$3:$H$130,"&lt;="&amp;Chart!BG2,'Daily Track'!$I$3:$I$130,"&gt;="&amp;BG2)</f>
        <v>0</v>
      </c>
      <c r="BH24" s="18">
        <f>COUNTIFS('Daily Track'!$G$3:$G$130,Chart!$A$23,'Daily Track'!$H$3:$H$130,"&lt;="&amp;Chart!BH2,'Daily Track'!$I$3:$I$130,"&gt;="&amp;BH2)</f>
        <v>0</v>
      </c>
      <c r="BI24" s="18">
        <f>COUNTIFS('Daily Track'!$G$3:$G$130,Chart!$A$23,'Daily Track'!$H$3:$H$130,"&lt;="&amp;Chart!BI2,'Daily Track'!$I$3:$I$130,"&gt;="&amp;BI2)</f>
        <v>0</v>
      </c>
      <c r="BJ24" s="18">
        <f>COUNTIFS('Daily Track'!$G$3:$G$130,Chart!$A$23,'Daily Track'!$H$3:$H$130,"&lt;="&amp;Chart!BJ2,'Daily Track'!$I$3:$I$130,"&gt;="&amp;BJ2)</f>
        <v>0</v>
      </c>
      <c r="BK24" s="18">
        <f>COUNTIFS('Daily Track'!$G$3:$G$130,Chart!$A$23,'Daily Track'!$H$3:$H$130,"&lt;="&amp;Chart!BK2,'Daily Track'!$I$3:$I$130,"&gt;="&amp;BK2)</f>
        <v>0</v>
      </c>
      <c r="BL24" s="18">
        <f>COUNTIFS('Daily Track'!$G$3:$G$130,Chart!$A$23,'Daily Track'!$H$3:$H$130,"&lt;="&amp;Chart!BL2,'Daily Track'!$I$3:$I$130,"&gt;="&amp;BL2)</f>
        <v>0</v>
      </c>
      <c r="BM24" s="18">
        <f>COUNTIFS('Daily Track'!$G$3:$G$130,Chart!$A$23,'Daily Track'!$H$3:$H$130,"&lt;="&amp;Chart!BM2,'Daily Track'!$I$3:$I$130,"&gt;="&amp;BM2)</f>
        <v>0</v>
      </c>
      <c r="BN24" s="18">
        <f>COUNTIFS('Daily Track'!$G$3:$G$130,Chart!$A$23,'Daily Track'!$H$3:$H$130,"&lt;="&amp;Chart!BN2,'Daily Track'!$I$3:$I$130,"&gt;="&amp;BN2)</f>
        <v>0</v>
      </c>
      <c r="BO24" s="18">
        <f>COUNTIFS('Daily Track'!$G$3:$G$130,Chart!$A$23,'Daily Track'!$H$3:$H$130,"&lt;="&amp;Chart!BO2,'Daily Track'!$I$3:$I$130,"&gt;="&amp;BO2)</f>
        <v>0</v>
      </c>
      <c r="BP24" s="18">
        <f>COUNTIFS('Daily Track'!$G$3:$G$130,Chart!$A$23,'Daily Track'!$H$3:$H$130,"&lt;="&amp;Chart!BP2,'Daily Track'!$I$3:$I$130,"&gt;="&amp;BP2)</f>
        <v>0</v>
      </c>
      <c r="BQ24" s="18">
        <f>COUNTIFS('Daily Track'!$G$3:$G$130,Chart!$A$23,'Daily Track'!$H$3:$H$130,"&lt;="&amp;Chart!BQ2,'Daily Track'!$I$3:$I$130,"&gt;="&amp;BQ2)</f>
        <v>0</v>
      </c>
      <c r="BR24" s="18">
        <f>COUNTIFS('Daily Track'!$G$3:$G$130,Chart!$A$23,'Daily Track'!$H$3:$H$130,"&lt;="&amp;Chart!BR2,'Daily Track'!$I$3:$I$130,"&gt;="&amp;BR2)</f>
        <v>0</v>
      </c>
      <c r="BS24" s="18">
        <f>COUNTIFS('Daily Track'!$G$3:$G$130,Chart!$A$23,'Daily Track'!$H$3:$H$130,"&lt;="&amp;Chart!BS2,'Daily Track'!$I$3:$I$130,"&gt;="&amp;BS2)</f>
        <v>0</v>
      </c>
      <c r="BT24" s="18">
        <f>COUNTIFS('Daily Track'!$G$3:$G$130,Chart!$A$23,'Daily Track'!$H$3:$H$130,"&lt;="&amp;Chart!BT2,'Daily Track'!$I$3:$I$130,"&gt;="&amp;BT2)</f>
        <v>0</v>
      </c>
      <c r="BU24" s="18">
        <f>COUNTIFS('Daily Track'!$G$3:$G$130,Chart!$A$23,'Daily Track'!$H$3:$H$130,"&lt;="&amp;Chart!BU2,'Daily Track'!$I$3:$I$130,"&gt;="&amp;BU2)</f>
        <v>0</v>
      </c>
      <c r="BV24" s="18">
        <f>COUNTIFS('Daily Track'!$G$3:$G$130,Chart!$A$23,'Daily Track'!$H$3:$H$130,"&lt;="&amp;Chart!BV2,'Daily Track'!$I$3:$I$130,"&gt;="&amp;BV2)</f>
        <v>0</v>
      </c>
      <c r="BW24" s="18">
        <f>COUNTIFS('Daily Track'!$G$3:$G$130,Chart!$A$23,'Daily Track'!$H$3:$H$130,"&lt;="&amp;Chart!BW2,'Daily Track'!$I$3:$I$130,"&gt;="&amp;BW2)</f>
        <v>0</v>
      </c>
      <c r="BX24" s="18">
        <f>COUNTIFS('Daily Track'!$G$3:$G$130,Chart!$A$23,'Daily Track'!$H$3:$H$130,"&lt;="&amp;Chart!BX2,'Daily Track'!$I$3:$I$130,"&gt;="&amp;BX2)</f>
        <v>0</v>
      </c>
      <c r="BY24" s="18">
        <f>COUNTIFS('Daily Track'!$G$3:$G$130,Chart!$A$23,'Daily Track'!$H$3:$H$130,"&lt;="&amp;Chart!BY2,'Daily Track'!$I$3:$I$130,"&gt;="&amp;BY2)</f>
        <v>0</v>
      </c>
      <c r="BZ24" s="18">
        <f>COUNTIFS('Daily Track'!$G$3:$G$130,Chart!$A$23,'Daily Track'!$H$3:$H$130,"&lt;="&amp;Chart!BZ2,'Daily Track'!$I$3:$I$130,"&gt;="&amp;BZ2)</f>
        <v>0</v>
      </c>
      <c r="CA24" s="18">
        <f>COUNTIFS('Daily Track'!$G$3:$G$130,Chart!$A$23,'Daily Track'!$H$3:$H$130,"&lt;="&amp;Chart!CA2,'Daily Track'!$I$3:$I$130,"&gt;="&amp;CA2)</f>
        <v>0</v>
      </c>
      <c r="CB24" s="18">
        <f>COUNTIFS('Daily Track'!$G$3:$G$130,Chart!$A$23,'Daily Track'!$H$3:$H$130,"&lt;="&amp;Chart!CB2,'Daily Track'!$I$3:$I$130,"&gt;="&amp;CB2)</f>
        <v>0</v>
      </c>
      <c r="CC24" s="18">
        <f>COUNTIFS('Daily Track'!$G$3:$G$130,Chart!$A$23,'Daily Track'!$H$3:$H$130,"&lt;="&amp;Chart!CC2,'Daily Track'!$I$3:$I$130,"&gt;="&amp;CC2)</f>
        <v>0</v>
      </c>
      <c r="CD24" s="18">
        <f>COUNTIFS('Daily Track'!$G$3:$G$130,Chart!$A$23,'Daily Track'!$H$3:$H$130,"&lt;="&amp;Chart!CD2,'Daily Track'!$I$3:$I$130,"&gt;="&amp;CD2)</f>
        <v>0</v>
      </c>
      <c r="CE24" s="18">
        <f>COUNTIFS('Daily Track'!$G$3:$G$130,Chart!$A$23,'Daily Track'!$H$3:$H$130,"&lt;="&amp;Chart!CE2,'Daily Track'!$I$3:$I$130,"&gt;="&amp;CE2)</f>
        <v>0</v>
      </c>
      <c r="CF24" s="18">
        <f>COUNTIFS('Daily Track'!$G$3:$G$130,Chart!$A$23,'Daily Track'!$H$3:$H$130,"&lt;="&amp;Chart!CF2,'Daily Track'!$I$3:$I$130,"&gt;="&amp;CF2)</f>
        <v>0</v>
      </c>
      <c r="CG24" s="18">
        <f>COUNTIFS('Daily Track'!$G$3:$G$130,Chart!$A$23,'Daily Track'!$H$3:$H$130,"&lt;="&amp;Chart!CG2,'Daily Track'!$I$3:$I$130,"&gt;="&amp;CG2)</f>
        <v>0</v>
      </c>
      <c r="CH24" s="18">
        <f>COUNTIFS('Daily Track'!$G$3:$G$130,Chart!$A$23,'Daily Track'!$H$3:$H$130,"&lt;="&amp;Chart!CH2,'Daily Track'!$I$3:$I$130,"&gt;="&amp;CH2)</f>
        <v>0</v>
      </c>
      <c r="CI24" s="18">
        <f>COUNTIFS('Daily Track'!$G$3:$G$130,Chart!$A$23,'Daily Track'!$H$3:$H$130,"&lt;="&amp;Chart!CI2,'Daily Track'!$I$3:$I$130,"&gt;="&amp;CI2)</f>
        <v>0</v>
      </c>
      <c r="CJ24" s="18">
        <f>COUNTIFS('Daily Track'!$G$3:$G$130,Chart!$A$23,'Daily Track'!$H$3:$H$130,"&lt;="&amp;Chart!CJ2,'Daily Track'!$I$3:$I$130,"&gt;="&amp;CJ2)</f>
        <v>0</v>
      </c>
      <c r="CK24" s="18">
        <f>COUNTIFS('Daily Track'!$G$3:$G$130,Chart!$A$23,'Daily Track'!$H$3:$H$130,"&lt;="&amp;Chart!CK2,'Daily Track'!$I$3:$I$130,"&gt;="&amp;CK2)</f>
        <v>0</v>
      </c>
      <c r="CL24" s="18">
        <f>COUNTIFS('Daily Track'!$G$3:$G$130,Chart!$A$23,'Daily Track'!$H$3:$H$130,"&lt;="&amp;Chart!CL2,'Daily Track'!$I$3:$I$130,"&gt;="&amp;CL2)</f>
        <v>0</v>
      </c>
      <c r="CM24" s="18">
        <f>COUNTIFS('Daily Track'!$G$3:$G$130,Chart!$A$23,'Daily Track'!$H$3:$H$130,"&lt;="&amp;Chart!CM2,'Daily Track'!$I$3:$I$130,"&gt;="&amp;CM2)</f>
        <v>0</v>
      </c>
      <c r="CN24" s="18">
        <f>COUNTIFS('Daily Track'!$G$3:$G$130,Chart!$A$23,'Daily Track'!$H$3:$H$130,"&lt;="&amp;Chart!CN2,'Daily Track'!$I$3:$I$130,"&gt;="&amp;CN2)</f>
        <v>0</v>
      </c>
      <c r="CO24" s="18">
        <f>COUNTIFS('Daily Track'!$G$3:$G$130,Chart!$A$23,'Daily Track'!$H$3:$H$130,"&lt;="&amp;Chart!CO2,'Daily Track'!$I$3:$I$130,"&gt;="&amp;CO2)</f>
        <v>0</v>
      </c>
      <c r="CP24" s="18">
        <f>COUNTIFS('Daily Track'!$G$3:$G$130,Chart!$A$23,'Daily Track'!$H$3:$H$130,"&lt;="&amp;Chart!CP2,'Daily Track'!$I$3:$I$130,"&gt;="&amp;CP2)</f>
        <v>0</v>
      </c>
      <c r="CQ24" s="18">
        <f>COUNTIFS('Daily Track'!$G$3:$G$130,Chart!$A$23,'Daily Track'!$H$3:$H$130,"&lt;="&amp;Chart!CQ2,'Daily Track'!$I$3:$I$130,"&gt;="&amp;CQ2)</f>
        <v>0</v>
      </c>
      <c r="CR24" s="18">
        <f>COUNTIFS('Daily Track'!$G$3:$G$130,Chart!$A$23,'Daily Track'!$H$3:$H$130,"&lt;="&amp;Chart!CR2,'Daily Track'!$I$3:$I$130,"&gt;="&amp;CR2)</f>
        <v>0</v>
      </c>
      <c r="CS24" s="18">
        <f>COUNTIFS('Daily Track'!$G$3:$G$130,Chart!$A$23,'Daily Track'!$H$3:$H$130,"&lt;="&amp;Chart!CS2,'Daily Track'!$I$3:$I$130,"&gt;="&amp;CS2)</f>
        <v>0</v>
      </c>
      <c r="CT24" s="18">
        <f>COUNTIFS('Daily Track'!$G$3:$G$130,Chart!$A$23,'Daily Track'!$H$3:$H$130,"&lt;="&amp;Chart!CT2,'Daily Track'!$I$3:$I$130,"&gt;="&amp;CT2)</f>
        <v>0</v>
      </c>
      <c r="CU24" s="18">
        <f>COUNTIFS('Daily Track'!$G$3:$G$130,Chart!$A$23,'Daily Track'!$H$3:$H$130,"&lt;="&amp;Chart!CU2,'Daily Track'!$I$3:$I$130,"&gt;="&amp;CU2)</f>
        <v>0</v>
      </c>
      <c r="CV24" s="18">
        <f>COUNTIFS('Daily Track'!$G$3:$G$130,Chart!$A$23,'Daily Track'!$H$3:$H$130,"&lt;="&amp;Chart!CV2,'Daily Track'!$I$3:$I$130,"&gt;="&amp;CV2)</f>
        <v>0</v>
      </c>
    </row>
    <row r="25" spans="1:100" s="19" customFormat="1" ht="10.5" customHeight="1">
      <c r="A25" s="18" t="s">
        <v>14</v>
      </c>
      <c r="B25" s="18">
        <f ca="1">IF(B2&lt;=NOW(),COUNTIFS('Daily Track'!$G$3:$G$130,Chart!$A$23,'Daily Track'!$L$3:$L$130,"&lt;="&amp;Chart!B2,'Daily Track'!$M$3:$M$130,"&gt;="&amp;B2)+COUNTIFS('Daily Track'!$G$3:$G$130,Chart!$A$23,'Daily Track'!$L$3:$L$130,"&lt;="&amp;Chart!B2,'Daily Track'!$M$3:$M$130,""),0)</f>
        <v>0</v>
      </c>
      <c r="C25" s="18">
        <f ca="1">IF(C2&lt;=NOW(),COUNTIFS('Daily Track'!$G$3:$G$130,Chart!$A$23,'Daily Track'!$L$3:$L$130,"&lt;="&amp;Chart!C2,'Daily Track'!$M$3:$M$130,"&gt;="&amp;C2)+COUNTIFS('Daily Track'!$G$3:$G$130,Chart!$A$23,'Daily Track'!$L$3:$L$130,"&lt;="&amp;Chart!C2,'Daily Track'!$M$3:$M$130,""),0)</f>
        <v>0</v>
      </c>
      <c r="D25" s="18">
        <f ca="1">IF(D2&lt;=NOW(),COUNTIFS('Daily Track'!$G$3:$G$130,Chart!$A$23,'Daily Track'!$L$3:$L$130,"&lt;="&amp;Chart!D2,'Daily Track'!$M$3:$M$130,"&gt;="&amp;D2)+COUNTIFS('Daily Track'!$G$3:$G$130,Chart!$A$23,'Daily Track'!$L$3:$L$130,"&lt;="&amp;Chart!D2,'Daily Track'!$M$3:$M$130,""),0)</f>
        <v>0</v>
      </c>
      <c r="E25" s="18">
        <f ca="1">IF(E2&lt;=NOW(),COUNTIFS('Daily Track'!$G$3:$G$130,Chart!$A$23,'Daily Track'!$L$3:$L$130,"&lt;="&amp;Chart!E2,'Daily Track'!$M$3:$M$130,"&gt;="&amp;E2)+COUNTIFS('Daily Track'!$G$3:$G$130,Chart!$A$23,'Daily Track'!$L$3:$L$130,"&lt;="&amp;Chart!E2,'Daily Track'!$M$3:$M$130,""),0)</f>
        <v>0</v>
      </c>
      <c r="F25" s="18">
        <f ca="1">IF(F2&lt;=NOW(),COUNTIFS('Daily Track'!$G$3:$G$130,Chart!$A$23,'Daily Track'!$L$3:$L$130,"&lt;="&amp;Chart!F2,'Daily Track'!$M$3:$M$130,"&gt;="&amp;F2)+COUNTIFS('Daily Track'!$G$3:$G$130,Chart!$A$23,'Daily Track'!$L$3:$L$130,"&lt;="&amp;Chart!F2,'Daily Track'!$M$3:$M$130,""),0)</f>
        <v>0</v>
      </c>
      <c r="G25" s="18">
        <f ca="1">IF(G2&lt;=NOW(),COUNTIFS('Daily Track'!$G$3:$G$130,Chart!$A$23,'Daily Track'!$L$3:$L$130,"&lt;="&amp;Chart!G2,'Daily Track'!$M$3:$M$130,"&gt;="&amp;G2)+COUNTIFS('Daily Track'!$G$3:$G$130,Chart!$A$23,'Daily Track'!$L$3:$L$130,"&lt;="&amp;Chart!G2,'Daily Track'!$M$3:$M$130,""),0)</f>
        <v>0</v>
      </c>
      <c r="H25" s="18">
        <f ca="1">IF(H2&lt;=NOW(),COUNTIFS('Daily Track'!$G$3:$G$130,Chart!$A$23,'Daily Track'!$L$3:$L$130,"&lt;="&amp;Chart!H2,'Daily Track'!$M$3:$M$130,"&gt;="&amp;H2)+COUNTIFS('Daily Track'!$G$3:$G$130,Chart!$A$23,'Daily Track'!$L$3:$L$130,"&lt;="&amp;Chart!H2,'Daily Track'!$M$3:$M$130,""),0)</f>
        <v>0</v>
      </c>
      <c r="I25" s="18">
        <f ca="1">IF(I2&lt;=NOW(),COUNTIFS('Daily Track'!$G$3:$G$130,Chart!$A$23,'Daily Track'!$L$3:$L$130,"&lt;="&amp;Chart!I2,'Daily Track'!$M$3:$M$130,"&gt;="&amp;I2)+COUNTIFS('Daily Track'!$G$3:$G$130,Chart!$A$23,'Daily Track'!$L$3:$L$130,"&lt;="&amp;Chart!I2,'Daily Track'!$M$3:$M$130,""),0)</f>
        <v>0</v>
      </c>
      <c r="J25" s="18">
        <f ca="1">IF(J2&lt;=NOW(),COUNTIFS('Daily Track'!$G$3:$G$130,Chart!$A$23,'Daily Track'!$L$3:$L$130,"&lt;="&amp;Chart!J2,'Daily Track'!$M$3:$M$130,"&gt;="&amp;J2)+COUNTIFS('Daily Track'!$G$3:$G$130,Chart!$A$23,'Daily Track'!$L$3:$L$130,"&lt;="&amp;Chart!J2,'Daily Track'!$M$3:$M$130,""),0)</f>
        <v>0</v>
      </c>
      <c r="K25" s="18">
        <f ca="1">IF(K2&lt;=NOW(),COUNTIFS('Daily Track'!$G$3:$G$130,Chart!$A$23,'Daily Track'!$L$3:$L$130,"&lt;="&amp;Chart!K2,'Daily Track'!$M$3:$M$130,"&gt;="&amp;K2)+COUNTIFS('Daily Track'!$G$3:$G$130,Chart!$A$23,'Daily Track'!$L$3:$L$130,"&lt;="&amp;Chart!K2,'Daily Track'!$M$3:$M$130,""),0)</f>
        <v>0</v>
      </c>
      <c r="L25" s="18">
        <f ca="1">IF(L2&lt;=NOW(),COUNTIFS('Daily Track'!$G$3:$G$130,Chart!$A$23,'Daily Track'!$L$3:$L$130,"&lt;="&amp;Chart!L2,'Daily Track'!$M$3:$M$130,"&gt;="&amp;L2)+COUNTIFS('Daily Track'!$G$3:$G$130,Chart!$A$23,'Daily Track'!$L$3:$L$130,"&lt;="&amp;Chart!L2,'Daily Track'!$M$3:$M$130,""),0)</f>
        <v>0</v>
      </c>
      <c r="M25" s="18">
        <f ca="1">IF(M2&lt;=NOW(),COUNTIFS('Daily Track'!$G$3:$G$130,Chart!$A$23,'Daily Track'!$L$3:$L$130,"&lt;="&amp;Chart!M2,'Daily Track'!$M$3:$M$130,"&gt;="&amp;M2)+COUNTIFS('Daily Track'!$G$3:$G$130,Chart!$A$23,'Daily Track'!$L$3:$L$130,"&lt;="&amp;Chart!M2,'Daily Track'!$M$3:$M$130,""),0)</f>
        <v>0</v>
      </c>
      <c r="N25" s="18">
        <f ca="1">IF(N2&lt;=NOW(),COUNTIFS('Daily Track'!$G$3:$G$130,Chart!$A$23,'Daily Track'!$L$3:$L$130,"&lt;="&amp;Chart!N2,'Daily Track'!$M$3:$M$130,"&gt;="&amp;N2)+COUNTIFS('Daily Track'!$G$3:$G$130,Chart!$A$23,'Daily Track'!$L$3:$L$130,"&lt;="&amp;Chart!N2,'Daily Track'!$M$3:$M$130,""),0)</f>
        <v>0</v>
      </c>
      <c r="O25" s="18">
        <f ca="1">IF(O2&lt;=NOW(),COUNTIFS('Daily Track'!$G$3:$G$130,Chart!$A$23,'Daily Track'!$L$3:$L$130,"&lt;="&amp;Chart!O2,'Daily Track'!$M$3:$M$130,"&gt;="&amp;O2)+COUNTIFS('Daily Track'!$G$3:$G$130,Chart!$A$23,'Daily Track'!$L$3:$L$130,"&lt;="&amp;Chart!O2,'Daily Track'!$M$3:$M$130,""),0)</f>
        <v>0</v>
      </c>
      <c r="P25" s="18">
        <f ca="1">IF(P2&lt;=NOW(),COUNTIFS('Daily Track'!$G$3:$G$130,Chart!$A$23,'Daily Track'!$L$3:$L$130,"&lt;="&amp;Chart!P2,'Daily Track'!$M$3:$M$130,"&gt;="&amp;P2)+COUNTIFS('Daily Track'!$G$3:$G$130,Chart!$A$23,'Daily Track'!$L$3:$L$130,"&lt;="&amp;Chart!P2,'Daily Track'!$M$3:$M$130,""),0)</f>
        <v>0</v>
      </c>
      <c r="Q25" s="18">
        <f ca="1">IF(Q2&lt;=NOW(),COUNTIFS('Daily Track'!$G$3:$G$130,Chart!$A$23,'Daily Track'!$L$3:$L$130,"&lt;="&amp;Chart!Q2,'Daily Track'!$M$3:$M$130,"&gt;="&amp;Q2)+COUNTIFS('Daily Track'!$G$3:$G$130,Chart!$A$23,'Daily Track'!$L$3:$L$130,"&lt;="&amp;Chart!Q2,'Daily Track'!$M$3:$M$130,""),0)</f>
        <v>0</v>
      </c>
      <c r="R25" s="18">
        <f ca="1">IF(R2&lt;=NOW(),COUNTIFS('Daily Track'!$G$3:$G$130,Chart!$A$23,'Daily Track'!$L$3:$L$130,"&lt;="&amp;Chart!R2,'Daily Track'!$M$3:$M$130,"&gt;="&amp;R2)+COUNTIFS('Daily Track'!$G$3:$G$130,Chart!$A$23,'Daily Track'!$L$3:$L$130,"&lt;="&amp;Chart!R2,'Daily Track'!$M$3:$M$130,""),0)</f>
        <v>0</v>
      </c>
      <c r="S25" s="18">
        <f ca="1">IF(S2&lt;=NOW(),COUNTIFS('Daily Track'!$G$3:$G$130,Chart!$A$23,'Daily Track'!$L$3:$L$130,"&lt;="&amp;Chart!S2,'Daily Track'!$M$3:$M$130,"&gt;="&amp;S2)+COUNTIFS('Daily Track'!$G$3:$G$130,Chart!$A$23,'Daily Track'!$L$3:$L$130,"&lt;="&amp;Chart!S2,'Daily Track'!$M$3:$M$130,""),0)</f>
        <v>0</v>
      </c>
      <c r="T25" s="18">
        <f ca="1">IF(T2&lt;=NOW(),COUNTIFS('Daily Track'!$G$3:$G$130,Chart!$A$23,'Daily Track'!$L$3:$L$130,"&lt;="&amp;Chart!T2,'Daily Track'!$M$3:$M$130,"&gt;="&amp;T2)+COUNTIFS('Daily Track'!$G$3:$G$130,Chart!$A$23,'Daily Track'!$L$3:$L$130,"&lt;="&amp;Chart!T2,'Daily Track'!$M$3:$M$130,""),0)</f>
        <v>0</v>
      </c>
      <c r="U25" s="18">
        <f ca="1">IF(U2&lt;=NOW(),COUNTIFS('Daily Track'!$G$3:$G$130,Chart!$A$23,'Daily Track'!$L$3:$L$130,"&lt;="&amp;Chart!U2,'Daily Track'!$M$3:$M$130,"&gt;="&amp;U2)+COUNTIFS('Daily Track'!$G$3:$G$130,Chart!$A$23,'Daily Track'!$L$3:$L$130,"&lt;="&amp;Chart!U2,'Daily Track'!$M$3:$M$130,""),0)</f>
        <v>0</v>
      </c>
      <c r="V25" s="18">
        <f ca="1">IF(V2&lt;=NOW(),COUNTIFS('Daily Track'!$G$3:$G$130,Chart!$A$23,'Daily Track'!$L$3:$L$130,"&lt;="&amp;Chart!V2,'Daily Track'!$M$3:$M$130,"&gt;="&amp;V2)+COUNTIFS('Daily Track'!$G$3:$G$130,Chart!$A$23,'Daily Track'!$L$3:$L$130,"&lt;="&amp;Chart!V2,'Daily Track'!$M$3:$M$130,""),0)</f>
        <v>0</v>
      </c>
      <c r="W25" s="18">
        <f ca="1">IF(W2&lt;=NOW(),COUNTIFS('Daily Track'!$G$3:$G$130,Chart!$A$23,'Daily Track'!$L$3:$L$130,"&lt;="&amp;Chart!W2,'Daily Track'!$M$3:$M$130,"&gt;="&amp;W2)+COUNTIFS('Daily Track'!$G$3:$G$130,Chart!$A$23,'Daily Track'!$L$3:$L$130,"&lt;="&amp;Chart!W2,'Daily Track'!$M$3:$M$130,""),0)</f>
        <v>0</v>
      </c>
      <c r="X25" s="18">
        <f ca="1">IF(X2&lt;=NOW(),COUNTIFS('Daily Track'!$G$3:$G$130,Chart!$A$23,'Daily Track'!$L$3:$L$130,"&lt;="&amp;Chart!X2,'Daily Track'!$M$3:$M$130,"&gt;="&amp;X2)+COUNTIFS('Daily Track'!$G$3:$G$130,Chart!$A$23,'Daily Track'!$L$3:$L$130,"&lt;="&amp;Chart!X2,'Daily Track'!$M$3:$M$130,""),0)</f>
        <v>0</v>
      </c>
      <c r="Y25" s="18">
        <f ca="1">IF(Y2&lt;=NOW(),COUNTIFS('Daily Track'!$G$3:$G$130,Chart!$A$23,'Daily Track'!$L$3:$L$130,"&lt;="&amp;Chart!Y2,'Daily Track'!$M$3:$M$130,"&gt;="&amp;Y2)+COUNTIFS('Daily Track'!$G$3:$G$130,Chart!$A$23,'Daily Track'!$L$3:$L$130,"&lt;="&amp;Chart!Y2,'Daily Track'!$M$3:$M$130,""),0)</f>
        <v>0</v>
      </c>
      <c r="Z25" s="18">
        <f ca="1">IF(Z2&lt;=NOW(),COUNTIFS('Daily Track'!$G$3:$G$130,Chart!$A$23,'Daily Track'!$L$3:$L$130,"&lt;="&amp;Chart!Z2,'Daily Track'!$M$3:$M$130,"&gt;="&amp;Z2)+COUNTIFS('Daily Track'!$G$3:$G$130,Chart!$A$23,'Daily Track'!$L$3:$L$130,"&lt;="&amp;Chart!Z2,'Daily Track'!$M$3:$M$130,""),0)</f>
        <v>0</v>
      </c>
      <c r="AA25" s="18">
        <f ca="1">IF(AA2&lt;=NOW(),COUNTIFS('Daily Track'!$G$3:$G$130,Chart!$A$23,'Daily Track'!$L$3:$L$130,"&lt;="&amp;Chart!AA2,'Daily Track'!$M$3:$M$130,"&gt;="&amp;AA2)+COUNTIFS('Daily Track'!$G$3:$G$130,Chart!$A$23,'Daily Track'!$L$3:$L$130,"&lt;="&amp;Chart!AA2,'Daily Track'!$M$3:$M$130,""),0)</f>
        <v>0</v>
      </c>
      <c r="AB25" s="18">
        <f ca="1">IF(AB2&lt;=NOW(),COUNTIFS('Daily Track'!$G$3:$G$130,Chart!$A$23,'Daily Track'!$L$3:$L$130,"&lt;="&amp;Chart!AB2,'Daily Track'!$M$3:$M$130,"&gt;="&amp;AB2)+COUNTIFS('Daily Track'!$G$3:$G$130,Chart!$A$23,'Daily Track'!$L$3:$L$130,"&lt;="&amp;Chart!AB2,'Daily Track'!$M$3:$M$130,""),0)</f>
        <v>0</v>
      </c>
      <c r="AC25" s="18">
        <f ca="1">IF(AC2&lt;=NOW(),COUNTIFS('Daily Track'!$G$3:$G$130,Chart!$A$23,'Daily Track'!$L$3:$L$130,"&lt;="&amp;Chart!AC2,'Daily Track'!$M$3:$M$130,"&gt;="&amp;AC2)+COUNTIFS('Daily Track'!$G$3:$G$130,Chart!$A$23,'Daily Track'!$L$3:$L$130,"&lt;="&amp;Chart!AC2,'Daily Track'!$M$3:$M$130,""),0)</f>
        <v>0</v>
      </c>
      <c r="AD25" s="18">
        <f ca="1">IF(AD2&lt;=NOW(),COUNTIFS('Daily Track'!$G$3:$G$130,Chart!$A$23,'Daily Track'!$L$3:$L$130,"&lt;="&amp;Chart!AD2,'Daily Track'!$M$3:$M$130,"&gt;="&amp;AD2)+COUNTIFS('Daily Track'!$G$3:$G$130,Chart!$A$23,'Daily Track'!$L$3:$L$130,"&lt;="&amp;Chart!AD2,'Daily Track'!$M$3:$M$130,""),0)</f>
        <v>0</v>
      </c>
      <c r="AE25" s="18">
        <f ca="1">IF(AE2&lt;=NOW(),COUNTIFS('Daily Track'!$G$3:$G$130,Chart!$A$23,'Daily Track'!$L$3:$L$130,"&lt;="&amp;Chart!AE2,'Daily Track'!$M$3:$M$130,"&gt;="&amp;AE2)+COUNTIFS('Daily Track'!$G$3:$G$130,Chart!$A$23,'Daily Track'!$L$3:$L$130,"&lt;="&amp;Chart!AE2,'Daily Track'!$M$3:$M$130,""),0)</f>
        <v>0</v>
      </c>
      <c r="AF25" s="18">
        <f ca="1">IF(AF2&lt;=NOW(),COUNTIFS('Daily Track'!$G$3:$G$130,Chart!$A$23,'Daily Track'!$L$3:$L$130,"&lt;="&amp;Chart!AF2,'Daily Track'!$M$3:$M$130,"&gt;="&amp;AF2)+COUNTIFS('Daily Track'!$G$3:$G$130,Chart!$A$23,'Daily Track'!$L$3:$L$130,"&lt;="&amp;Chart!AF2,'Daily Track'!$M$3:$M$130,""),0)</f>
        <v>0</v>
      </c>
      <c r="AG25" s="18">
        <f ca="1">IF(AG2&lt;=NOW(),COUNTIFS('Daily Track'!$G$3:$G$130,Chart!$A$23,'Daily Track'!$L$3:$L$130,"&lt;="&amp;Chart!AG2,'Daily Track'!$M$3:$M$130,"&gt;="&amp;AG2)+COUNTIFS('Daily Track'!$G$3:$G$130,Chart!$A$23,'Daily Track'!$L$3:$L$130,"&lt;="&amp;Chart!AG2,'Daily Track'!$M$3:$M$130,""),0)</f>
        <v>0</v>
      </c>
      <c r="AH25" s="18">
        <f ca="1">IF(AH2&lt;=NOW(),COUNTIFS('Daily Track'!$G$3:$G$130,Chart!$A$23,'Daily Track'!$L$3:$L$130,"&lt;="&amp;Chart!AH2,'Daily Track'!$M$3:$M$130,"&gt;="&amp;AH2)+COUNTIFS('Daily Track'!$G$3:$G$130,Chart!$A$23,'Daily Track'!$L$3:$L$130,"&lt;="&amp;Chart!AH2,'Daily Track'!$M$3:$M$130,""),0)</f>
        <v>0</v>
      </c>
      <c r="AI25" s="18">
        <f ca="1">IF(AI2&lt;=NOW(),COUNTIFS('Daily Track'!$G$3:$G$130,Chart!$A$23,'Daily Track'!$L$3:$L$130,"&lt;="&amp;Chart!AI2,'Daily Track'!$M$3:$M$130,"&gt;="&amp;AI2)+COUNTIFS('Daily Track'!$G$3:$G$130,Chart!$A$23,'Daily Track'!$L$3:$L$130,"&lt;="&amp;Chart!AI2,'Daily Track'!$M$3:$M$130,""),0)</f>
        <v>0</v>
      </c>
      <c r="AJ25" s="18">
        <f ca="1">IF(AJ2&lt;=NOW(),COUNTIFS('Daily Track'!$G$3:$G$130,Chart!$A$23,'Daily Track'!$L$3:$L$130,"&lt;="&amp;Chart!AJ2,'Daily Track'!$M$3:$M$130,"&gt;="&amp;AJ2)+COUNTIFS('Daily Track'!$G$3:$G$130,Chart!$A$23,'Daily Track'!$L$3:$L$130,"&lt;="&amp;Chart!AJ2,'Daily Track'!$M$3:$M$130,""),0)</f>
        <v>0</v>
      </c>
      <c r="AK25" s="18">
        <f ca="1">IF(AK2&lt;=NOW(),COUNTIFS('Daily Track'!$G$3:$G$130,Chart!$A$23,'Daily Track'!$L$3:$L$130,"&lt;="&amp;Chart!AK2,'Daily Track'!$M$3:$M$130,"&gt;="&amp;AK2)+COUNTIFS('Daily Track'!$G$3:$G$130,Chart!$A$23,'Daily Track'!$L$3:$L$130,"&lt;="&amp;Chart!AK2,'Daily Track'!$M$3:$M$130,""),0)</f>
        <v>0</v>
      </c>
      <c r="AL25" s="18">
        <f ca="1">IF(AL2&lt;=NOW(),COUNTIFS('Daily Track'!$G$3:$G$130,Chart!$A$23,'Daily Track'!$L$3:$L$130,"&lt;="&amp;Chart!AL2,'Daily Track'!$M$3:$M$130,"&gt;="&amp;AL2)+COUNTIFS('Daily Track'!$G$3:$G$130,Chart!$A$23,'Daily Track'!$L$3:$L$130,"&lt;="&amp;Chart!AL2,'Daily Track'!$M$3:$M$130,""),0)</f>
        <v>0</v>
      </c>
      <c r="AM25" s="18">
        <f ca="1">IF(AM2&lt;=NOW(),COUNTIFS('Daily Track'!$G$3:$G$130,Chart!$A$23,'Daily Track'!$L$3:$L$130,"&lt;="&amp;Chart!AM2,'Daily Track'!$M$3:$M$130,"&gt;="&amp;AM2)+COUNTIFS('Daily Track'!$G$3:$G$130,Chart!$A$23,'Daily Track'!$L$3:$L$130,"&lt;="&amp;Chart!AM2,'Daily Track'!$M$3:$M$130,""),0)</f>
        <v>0</v>
      </c>
      <c r="AN25" s="18">
        <f ca="1">IF(AN2&lt;=NOW(),COUNTIFS('Daily Track'!$G$3:$G$130,Chart!$A$23,'Daily Track'!$L$3:$L$130,"&lt;="&amp;Chart!AN2,'Daily Track'!$M$3:$M$130,"&gt;="&amp;AN2)+COUNTIFS('Daily Track'!$G$3:$G$130,Chart!$A$23,'Daily Track'!$L$3:$L$130,"&lt;="&amp;Chart!AN2,'Daily Track'!$M$3:$M$130,""),0)</f>
        <v>0</v>
      </c>
      <c r="AO25" s="18">
        <f ca="1">IF(AO2&lt;=NOW(),COUNTIFS('Daily Track'!$G$3:$G$130,Chart!$A$23,'Daily Track'!$L$3:$L$130,"&lt;="&amp;Chart!AO2,'Daily Track'!$M$3:$M$130,"&gt;="&amp;AO2)+COUNTIFS('Daily Track'!$G$3:$G$130,Chart!$A$23,'Daily Track'!$L$3:$L$130,"&lt;="&amp;Chart!AO2,'Daily Track'!$M$3:$M$130,""),0)</f>
        <v>0</v>
      </c>
      <c r="AP25" s="18">
        <f ca="1">IF(AP2&lt;=NOW(),COUNTIFS('Daily Track'!$G$3:$G$130,Chart!$A$23,'Daily Track'!$L$3:$L$130,"&lt;="&amp;Chart!AP2,'Daily Track'!$M$3:$M$130,"&gt;="&amp;AP2)+COUNTIFS('Daily Track'!$G$3:$G$130,Chart!$A$23,'Daily Track'!$L$3:$L$130,"&lt;="&amp;Chart!AP2,'Daily Track'!$M$3:$M$130,""),0)</f>
        <v>0</v>
      </c>
      <c r="AQ25" s="18">
        <f ca="1">IF(AQ2&lt;=NOW(),COUNTIFS('Daily Track'!$G$3:$G$130,Chart!$A$23,'Daily Track'!$L$3:$L$130,"&lt;="&amp;Chart!AQ2,'Daily Track'!$M$3:$M$130,"&gt;="&amp;AQ2)+COUNTIFS('Daily Track'!$G$3:$G$130,Chart!$A$23,'Daily Track'!$L$3:$L$130,"&lt;="&amp;Chart!AQ2,'Daily Track'!$M$3:$M$130,""),0)</f>
        <v>0</v>
      </c>
      <c r="AR25" s="18">
        <f ca="1">IF(AR2&lt;=NOW(),COUNTIFS('Daily Track'!$G$3:$G$130,Chart!$A$23,'Daily Track'!$L$3:$L$130,"&lt;="&amp;Chart!AR2,'Daily Track'!$M$3:$M$130,"&gt;="&amp;AR2)+COUNTIFS('Daily Track'!$G$3:$G$130,Chart!$A$23,'Daily Track'!$L$3:$L$130,"&lt;="&amp;Chart!AR2,'Daily Track'!$M$3:$M$130,""),0)</f>
        <v>0</v>
      </c>
      <c r="AS25" s="18">
        <f ca="1">IF(AS2&lt;=NOW(),COUNTIFS('Daily Track'!$G$3:$G$130,Chart!$A$23,'Daily Track'!$L$3:$L$130,"&lt;="&amp;Chart!AS2,'Daily Track'!$M$3:$M$130,"&gt;="&amp;AS2)+COUNTIFS('Daily Track'!$G$3:$G$130,Chart!$A$23,'Daily Track'!$L$3:$L$130,"&lt;="&amp;Chart!AS2,'Daily Track'!$M$3:$M$130,""),0)</f>
        <v>0</v>
      </c>
      <c r="AT25" s="18">
        <f ca="1">IF(AT2&lt;=NOW(),COUNTIFS('Daily Track'!$G$3:$G$130,Chart!$A$23,'Daily Track'!$L$3:$L$130,"&lt;="&amp;Chart!AT2,'Daily Track'!$M$3:$M$130,"&gt;="&amp;AT2)+COUNTIFS('Daily Track'!$G$3:$G$130,Chart!$A$23,'Daily Track'!$L$3:$L$130,"&lt;="&amp;Chart!AT2,'Daily Track'!$M$3:$M$130,""),0)</f>
        <v>0</v>
      </c>
      <c r="AU25" s="18">
        <f ca="1">IF(AU2&lt;=NOW(),COUNTIFS('Daily Track'!$G$3:$G$130,Chart!$A$23,'Daily Track'!$L$3:$L$130,"&lt;="&amp;Chart!AU2,'Daily Track'!$M$3:$M$130,"&gt;="&amp;AU2)+COUNTIFS('Daily Track'!$G$3:$G$130,Chart!$A$23,'Daily Track'!$L$3:$L$130,"&lt;="&amp;Chart!AU2,'Daily Track'!$M$3:$M$130,""),0)</f>
        <v>0</v>
      </c>
      <c r="AV25" s="18">
        <f ca="1">IF(AV2&lt;=NOW(),COUNTIFS('Daily Track'!$G$3:$G$130,Chart!$A$23,'Daily Track'!$L$3:$L$130,"&lt;="&amp;Chart!AV2,'Daily Track'!$M$3:$M$130,"&gt;="&amp;AV2)+COUNTIFS('Daily Track'!$G$3:$G$130,Chart!$A$23,'Daily Track'!$L$3:$L$130,"&lt;="&amp;Chart!AV2,'Daily Track'!$M$3:$M$130,""),0)</f>
        <v>0</v>
      </c>
      <c r="AW25" s="18">
        <f ca="1">IF(AW2&lt;=NOW(),COUNTIFS('Daily Track'!$G$3:$G$130,Chart!$A$23,'Daily Track'!$L$3:$L$130,"&lt;="&amp;Chart!AW2,'Daily Track'!$M$3:$M$130,"&gt;="&amp;AW2)+COUNTIFS('Daily Track'!$G$3:$G$130,Chart!$A$23,'Daily Track'!$L$3:$L$130,"&lt;="&amp;Chart!AW2,'Daily Track'!$M$3:$M$130,""),0)</f>
        <v>0</v>
      </c>
      <c r="AX25" s="18">
        <f ca="1">IF(AX2&lt;=NOW(),COUNTIFS('Daily Track'!$G$3:$G$130,Chart!$A$23,'Daily Track'!$L$3:$L$130,"&lt;="&amp;Chart!AX2,'Daily Track'!$M$3:$M$130,"&gt;="&amp;AX2)+COUNTIFS('Daily Track'!$G$3:$G$130,Chart!$A$23,'Daily Track'!$L$3:$L$130,"&lt;="&amp;Chart!AX2,'Daily Track'!$M$3:$M$130,""),0)</f>
        <v>0</v>
      </c>
      <c r="AY25" s="18">
        <f ca="1">IF(AY2&lt;=NOW(),COUNTIFS('Daily Track'!$G$3:$G$130,Chart!$A$23,'Daily Track'!$L$3:$L$130,"&lt;="&amp;Chart!AY2,'Daily Track'!$M$3:$M$130,"&gt;="&amp;AY2)+COUNTIFS('Daily Track'!$G$3:$G$130,Chart!$A$23,'Daily Track'!$L$3:$L$130,"&lt;="&amp;Chart!AY2,'Daily Track'!$M$3:$M$130,""),0)</f>
        <v>0</v>
      </c>
      <c r="AZ25" s="18">
        <f ca="1">IF(AZ2&lt;=NOW(),COUNTIFS('Daily Track'!$G$3:$G$130,Chart!$A$23,'Daily Track'!$L$3:$L$130,"&lt;="&amp;Chart!AZ2,'Daily Track'!$M$3:$M$130,"&gt;="&amp;AZ2)+COUNTIFS('Daily Track'!$G$3:$G$130,Chart!$A$23,'Daily Track'!$L$3:$L$130,"&lt;="&amp;Chart!AZ2,'Daily Track'!$M$3:$M$130,""),0)</f>
        <v>0</v>
      </c>
      <c r="BA25" s="18">
        <f ca="1">IF(BA2&lt;=NOW(),COUNTIFS('Daily Track'!$G$3:$G$130,Chart!$A$23,'Daily Track'!$L$3:$L$130,"&lt;="&amp;Chart!BA2,'Daily Track'!$M$3:$M$130,"&gt;="&amp;BA2)+COUNTIFS('Daily Track'!$G$3:$G$130,Chart!$A$23,'Daily Track'!$L$3:$L$130,"&lt;="&amp;Chart!BA2,'Daily Track'!$M$3:$M$130,""),0)</f>
        <v>0</v>
      </c>
      <c r="BB25" s="18">
        <f ca="1">IF(BB2&lt;=NOW(),COUNTIFS('Daily Track'!$G$3:$G$130,Chart!$A$23,'Daily Track'!$L$3:$L$130,"&lt;="&amp;Chart!BB2,'Daily Track'!$M$3:$M$130,"&gt;="&amp;BB2)+COUNTIFS('Daily Track'!$G$3:$G$130,Chart!$A$23,'Daily Track'!$L$3:$L$130,"&lt;="&amp;Chart!BB2,'Daily Track'!$M$3:$M$130,""),0)</f>
        <v>0</v>
      </c>
      <c r="BC25" s="18">
        <f ca="1">IF(BC2&lt;=NOW(),COUNTIFS('Daily Track'!$G$3:$G$130,Chart!$A$23,'Daily Track'!$L$3:$L$130,"&lt;="&amp;Chart!BC2,'Daily Track'!$M$3:$M$130,"&gt;="&amp;BC2)+COUNTIFS('Daily Track'!$G$3:$G$130,Chart!$A$23,'Daily Track'!$L$3:$L$130,"&lt;="&amp;Chart!BC2,'Daily Track'!$M$3:$M$130,""),0)</f>
        <v>0</v>
      </c>
      <c r="BD25" s="18">
        <f ca="1">IF(BD2&lt;=NOW(),COUNTIFS('Daily Track'!$G$3:$G$130,Chart!$A$23,'Daily Track'!$L$3:$L$130,"&lt;="&amp;Chart!BD2,'Daily Track'!$M$3:$M$130,"&gt;="&amp;BD2)+COUNTIFS('Daily Track'!$G$3:$G$130,Chart!$A$23,'Daily Track'!$L$3:$L$130,"&lt;="&amp;Chart!BD2,'Daily Track'!$M$3:$M$130,""),0)</f>
        <v>0</v>
      </c>
      <c r="BE25" s="18">
        <f ca="1">IF(BE2&lt;=NOW(),COUNTIFS('Daily Track'!$G$3:$G$130,Chart!$A$23,'Daily Track'!$L$3:$L$130,"&lt;="&amp;Chart!BE2,'Daily Track'!$M$3:$M$130,"&gt;="&amp;BE2)+COUNTIFS('Daily Track'!$G$3:$G$130,Chart!$A$23,'Daily Track'!$L$3:$L$130,"&lt;="&amp;Chart!BE2,'Daily Track'!$M$3:$M$130,""),0)</f>
        <v>0</v>
      </c>
      <c r="BF25" s="18">
        <f ca="1">IF(BF2&lt;=NOW(),COUNTIFS('Daily Track'!$G$3:$G$130,Chart!$A$23,'Daily Track'!$L$3:$L$130,"&lt;="&amp;Chart!BF2,'Daily Track'!$M$3:$M$130,"&gt;="&amp;BF2)+COUNTIFS('Daily Track'!$G$3:$G$130,Chart!$A$23,'Daily Track'!$L$3:$L$130,"&lt;="&amp;Chart!BF2,'Daily Track'!$M$3:$M$130,""),0)</f>
        <v>0</v>
      </c>
      <c r="BG25" s="18">
        <f ca="1">IF(BG2&lt;=NOW(),COUNTIFS('Daily Track'!$G$3:$G$130,Chart!$A$23,'Daily Track'!$L$3:$L$130,"&lt;="&amp;Chart!BG2,'Daily Track'!$M$3:$M$130,"&gt;="&amp;BG2)+COUNTIFS('Daily Track'!$G$3:$G$130,Chart!$A$23,'Daily Track'!$L$3:$L$130,"&lt;="&amp;Chart!BG2,'Daily Track'!$M$3:$M$130,""),0)</f>
        <v>0</v>
      </c>
      <c r="BH25" s="18">
        <f ca="1">IF(BH2&lt;=NOW(),COUNTIFS('Daily Track'!$G$3:$G$130,Chart!$A$23,'Daily Track'!$L$3:$L$130,"&lt;="&amp;Chart!BH2,'Daily Track'!$M$3:$M$130,"&gt;="&amp;BH2)+COUNTIFS('Daily Track'!$G$3:$G$130,Chart!$A$23,'Daily Track'!$L$3:$L$130,"&lt;="&amp;Chart!BH2,'Daily Track'!$M$3:$M$130,""),0)</f>
        <v>0</v>
      </c>
      <c r="BI25" s="18">
        <f ca="1">IF(BI2&lt;=NOW(),COUNTIFS('Daily Track'!$G$3:$G$130,Chart!$A$23,'Daily Track'!$L$3:$L$130,"&lt;="&amp;Chart!BI2,'Daily Track'!$M$3:$M$130,"&gt;="&amp;BI2)+COUNTIFS('Daily Track'!$G$3:$G$130,Chart!$A$23,'Daily Track'!$L$3:$L$130,"&lt;="&amp;Chart!BI2,'Daily Track'!$M$3:$M$130,""),0)</f>
        <v>0</v>
      </c>
      <c r="BJ25" s="18">
        <f ca="1">IF(BJ2&lt;=NOW(),COUNTIFS('Daily Track'!$G$3:$G$130,Chart!$A$23,'Daily Track'!$L$3:$L$130,"&lt;="&amp;Chart!BJ2,'Daily Track'!$M$3:$M$130,"&gt;="&amp;BJ2)+COUNTIFS('Daily Track'!$G$3:$G$130,Chart!$A$23,'Daily Track'!$L$3:$L$130,"&lt;="&amp;Chart!BJ2,'Daily Track'!$M$3:$M$130,""),0)</f>
        <v>0</v>
      </c>
      <c r="BK25" s="18">
        <f ca="1">IF(BK2&lt;=NOW(),COUNTIFS('Daily Track'!$G$3:$G$130,Chart!$A$23,'Daily Track'!$L$3:$L$130,"&lt;="&amp;Chart!BK2,'Daily Track'!$M$3:$M$130,"&gt;="&amp;BK2)+COUNTIFS('Daily Track'!$G$3:$G$130,Chart!$A$23,'Daily Track'!$L$3:$L$130,"&lt;="&amp;Chart!BK2,'Daily Track'!$M$3:$M$130,""),0)</f>
        <v>0</v>
      </c>
      <c r="BL25" s="18">
        <f ca="1">IF(BL2&lt;=NOW(),COUNTIFS('Daily Track'!$G$3:$G$130,Chart!$A$23,'Daily Track'!$L$3:$L$130,"&lt;="&amp;Chart!BL2,'Daily Track'!$M$3:$M$130,"&gt;="&amp;BL2)+COUNTIFS('Daily Track'!$G$3:$G$130,Chart!$A$23,'Daily Track'!$L$3:$L$130,"&lt;="&amp;Chart!BL2,'Daily Track'!$M$3:$M$130,""),0)</f>
        <v>0</v>
      </c>
      <c r="BM25" s="18">
        <f ca="1">IF(BM2&lt;=NOW(),COUNTIFS('Daily Track'!$G$3:$G$130,Chart!$A$23,'Daily Track'!$L$3:$L$130,"&lt;="&amp;Chart!BM2,'Daily Track'!$M$3:$M$130,"&gt;="&amp;BM2)+COUNTIFS('Daily Track'!$G$3:$G$130,Chart!$A$23,'Daily Track'!$L$3:$L$130,"&lt;="&amp;Chart!BM2,'Daily Track'!$M$3:$M$130,""),0)</f>
        <v>0</v>
      </c>
      <c r="BN25" s="18">
        <f ca="1">IF(BN2&lt;=NOW(),COUNTIFS('Daily Track'!$G$3:$G$130,Chart!$A$23,'Daily Track'!$L$3:$L$130,"&lt;="&amp;Chart!BN2,'Daily Track'!$M$3:$M$130,"&gt;="&amp;BN2)+COUNTIFS('Daily Track'!$G$3:$G$130,Chart!$A$23,'Daily Track'!$L$3:$L$130,"&lt;="&amp;Chart!BN2,'Daily Track'!$M$3:$M$130,""),0)</f>
        <v>0</v>
      </c>
      <c r="BO25" s="18">
        <f ca="1">IF(BO2&lt;=NOW(),COUNTIFS('Daily Track'!$G$3:$G$130,Chart!$A$23,'Daily Track'!$L$3:$L$130,"&lt;="&amp;Chart!BO2,'Daily Track'!$M$3:$M$130,"&gt;="&amp;BO2)+COUNTIFS('Daily Track'!$G$3:$G$130,Chart!$A$23,'Daily Track'!$L$3:$L$130,"&lt;="&amp;Chart!BO2,'Daily Track'!$M$3:$M$130,""),0)</f>
        <v>0</v>
      </c>
      <c r="BP25" s="18">
        <f ca="1">IF(BP2&lt;=NOW(),COUNTIFS('Daily Track'!$G$3:$G$130,Chart!$A$23,'Daily Track'!$L$3:$L$130,"&lt;="&amp;Chart!BP2,'Daily Track'!$M$3:$M$130,"&gt;="&amp;BP2)+COUNTIFS('Daily Track'!$G$3:$G$130,Chart!$A$23,'Daily Track'!$L$3:$L$130,"&lt;="&amp;Chart!BP2,'Daily Track'!$M$3:$M$130,""),0)</f>
        <v>0</v>
      </c>
      <c r="BQ25" s="18">
        <f ca="1">IF(BQ2&lt;=NOW(),COUNTIFS('Daily Track'!$G$3:$G$130,Chart!$A$23,'Daily Track'!$L$3:$L$130,"&lt;="&amp;Chart!BQ2,'Daily Track'!$M$3:$M$130,"&gt;="&amp;BQ2)+COUNTIFS('Daily Track'!$G$3:$G$130,Chart!$A$23,'Daily Track'!$L$3:$L$130,"&lt;="&amp;Chart!BQ2,'Daily Track'!$M$3:$M$130,""),0)</f>
        <v>0</v>
      </c>
      <c r="BR25" s="18">
        <f ca="1">IF(BR2&lt;=NOW(),COUNTIFS('Daily Track'!$G$3:$G$130,Chart!$A$23,'Daily Track'!$L$3:$L$130,"&lt;="&amp;Chart!BR2,'Daily Track'!$M$3:$M$130,"&gt;="&amp;BR2)+COUNTIFS('Daily Track'!$G$3:$G$130,Chart!$A$23,'Daily Track'!$L$3:$L$130,"&lt;="&amp;Chart!BR2,'Daily Track'!$M$3:$M$130,""),0)</f>
        <v>0</v>
      </c>
      <c r="BS25" s="18">
        <f ca="1">IF(BS2&lt;=NOW(),COUNTIFS('Daily Track'!$G$3:$G$130,Chart!$A$23,'Daily Track'!$L$3:$L$130,"&lt;="&amp;Chart!BS2,'Daily Track'!$M$3:$M$130,"&gt;="&amp;BS2)+COUNTIFS('Daily Track'!$G$3:$G$130,Chart!$A$23,'Daily Track'!$L$3:$L$130,"&lt;="&amp;Chart!BS2,'Daily Track'!$M$3:$M$130,""),0)</f>
        <v>0</v>
      </c>
      <c r="BT25" s="18">
        <f ca="1">IF(BT2&lt;=NOW(),COUNTIFS('Daily Track'!$G$3:$G$130,Chart!$A$23,'Daily Track'!$L$3:$L$130,"&lt;="&amp;Chart!BT2,'Daily Track'!$M$3:$M$130,"&gt;="&amp;BT2)+COUNTIFS('Daily Track'!$G$3:$G$130,Chart!$A$23,'Daily Track'!$L$3:$L$130,"&lt;="&amp;Chart!BT2,'Daily Track'!$M$3:$M$130,""),0)</f>
        <v>0</v>
      </c>
      <c r="BU25" s="18">
        <f ca="1">IF(BU2&lt;=NOW(),COUNTIFS('Daily Track'!$G$3:$G$130,Chart!$A$23,'Daily Track'!$L$3:$L$130,"&lt;="&amp;Chart!BU2,'Daily Track'!$M$3:$M$130,"&gt;="&amp;BU2)+COUNTIFS('Daily Track'!$G$3:$G$130,Chart!$A$23,'Daily Track'!$L$3:$L$130,"&lt;="&amp;Chart!BU2,'Daily Track'!$M$3:$M$130,""),0)</f>
        <v>0</v>
      </c>
      <c r="BV25" s="18">
        <f ca="1">IF(BV2&lt;=NOW(),COUNTIFS('Daily Track'!$G$3:$G$130,Chart!$A$23,'Daily Track'!$L$3:$L$130,"&lt;="&amp;Chart!BV2,'Daily Track'!$M$3:$M$130,"&gt;="&amp;BV2)+COUNTIFS('Daily Track'!$G$3:$G$130,Chart!$A$23,'Daily Track'!$L$3:$L$130,"&lt;="&amp;Chart!BV2,'Daily Track'!$M$3:$M$130,""),0)</f>
        <v>0</v>
      </c>
      <c r="BW25" s="18">
        <f ca="1">IF(BW2&lt;=NOW(),COUNTIFS('Daily Track'!$G$3:$G$130,Chart!$A$23,'Daily Track'!$L$3:$L$130,"&lt;="&amp;Chart!BW2,'Daily Track'!$M$3:$M$130,"&gt;="&amp;BW2)+COUNTIFS('Daily Track'!$G$3:$G$130,Chart!$A$23,'Daily Track'!$L$3:$L$130,"&lt;="&amp;Chart!BW2,'Daily Track'!$M$3:$M$130,""),0)</f>
        <v>0</v>
      </c>
      <c r="BX25" s="18">
        <f ca="1">IF(BX2&lt;=NOW(),COUNTIFS('Daily Track'!$G$3:$G$130,Chart!$A$23,'Daily Track'!$L$3:$L$130,"&lt;="&amp;Chart!BX2,'Daily Track'!$M$3:$M$130,"&gt;="&amp;BX2)+COUNTIFS('Daily Track'!$G$3:$G$130,Chart!$A$23,'Daily Track'!$L$3:$L$130,"&lt;="&amp;Chart!BX2,'Daily Track'!$M$3:$M$130,""),0)</f>
        <v>0</v>
      </c>
      <c r="BY25" s="18">
        <f ca="1">IF(BY2&lt;=NOW(),COUNTIFS('Daily Track'!$G$3:$G$130,Chart!$A$23,'Daily Track'!$L$3:$L$130,"&lt;="&amp;Chart!BY2,'Daily Track'!$M$3:$M$130,"&gt;="&amp;BY2)+COUNTIFS('Daily Track'!$G$3:$G$130,Chart!$A$23,'Daily Track'!$L$3:$L$130,"&lt;="&amp;Chart!BY2,'Daily Track'!$M$3:$M$130,""),0)</f>
        <v>0</v>
      </c>
      <c r="BZ25" s="18">
        <f ca="1">IF(BZ2&lt;=NOW(),COUNTIFS('Daily Track'!$G$3:$G$130,Chart!$A$23,'Daily Track'!$L$3:$L$130,"&lt;="&amp;Chart!BZ2,'Daily Track'!$M$3:$M$130,"&gt;="&amp;BZ2)+COUNTIFS('Daily Track'!$G$3:$G$130,Chart!$A$23,'Daily Track'!$L$3:$L$130,"&lt;="&amp;Chart!BZ2,'Daily Track'!$M$3:$M$130,""),0)</f>
        <v>0</v>
      </c>
      <c r="CA25" s="18">
        <f ca="1">IF(CA2&lt;=NOW(),COUNTIFS('Daily Track'!$G$3:$G$130,Chart!$A$23,'Daily Track'!$L$3:$L$130,"&lt;="&amp;Chart!CA2,'Daily Track'!$M$3:$M$130,"&gt;="&amp;CA2)+COUNTIFS('Daily Track'!$G$3:$G$130,Chart!$A$23,'Daily Track'!$L$3:$L$130,"&lt;="&amp;Chart!CA2,'Daily Track'!$M$3:$M$130,""),0)</f>
        <v>0</v>
      </c>
      <c r="CB25" s="18">
        <f ca="1">IF(CB2&lt;=NOW(),COUNTIFS('Daily Track'!$G$3:$G$130,Chart!$A$23,'Daily Track'!$L$3:$L$130,"&lt;="&amp;Chart!CB2,'Daily Track'!$M$3:$M$130,"&gt;="&amp;CB2)+COUNTIFS('Daily Track'!$G$3:$G$130,Chart!$A$23,'Daily Track'!$L$3:$L$130,"&lt;="&amp;Chart!CB2,'Daily Track'!$M$3:$M$130,""),0)</f>
        <v>0</v>
      </c>
      <c r="CC25" s="18">
        <f ca="1">IF(CC2&lt;=NOW(),COUNTIFS('Daily Track'!$G$3:$G$130,Chart!$A$23,'Daily Track'!$L$3:$L$130,"&lt;="&amp;Chart!CC2,'Daily Track'!$M$3:$M$130,"&gt;="&amp;CC2)+COUNTIFS('Daily Track'!$G$3:$G$130,Chart!$A$23,'Daily Track'!$L$3:$L$130,"&lt;="&amp;Chart!CC2,'Daily Track'!$M$3:$M$130,""),0)</f>
        <v>0</v>
      </c>
      <c r="CD25" s="18">
        <f ca="1">IF(CD2&lt;=NOW(),COUNTIFS('Daily Track'!$G$3:$G$130,Chart!$A$23,'Daily Track'!$L$3:$L$130,"&lt;="&amp;Chart!CD2,'Daily Track'!$M$3:$M$130,"&gt;="&amp;CD2)+COUNTIFS('Daily Track'!$G$3:$G$130,Chart!$A$23,'Daily Track'!$L$3:$L$130,"&lt;="&amp;Chart!CD2,'Daily Track'!$M$3:$M$130,""),0)</f>
        <v>0</v>
      </c>
      <c r="CE25" s="18">
        <f ca="1">IF(CE2&lt;=NOW(),COUNTIFS('Daily Track'!$G$3:$G$130,Chart!$A$23,'Daily Track'!$L$3:$L$130,"&lt;="&amp;Chart!CE2,'Daily Track'!$M$3:$M$130,"&gt;="&amp;CE2)+COUNTIFS('Daily Track'!$G$3:$G$130,Chart!$A$23,'Daily Track'!$L$3:$L$130,"&lt;="&amp;Chart!CE2,'Daily Track'!$M$3:$M$130,""),0)</f>
        <v>0</v>
      </c>
      <c r="CF25" s="18">
        <f ca="1">IF(CF2&lt;=NOW(),COUNTIFS('Daily Track'!$G$3:$G$130,Chart!$A$23,'Daily Track'!$L$3:$L$130,"&lt;="&amp;Chart!CF2,'Daily Track'!$M$3:$M$130,"&gt;="&amp;CF2)+COUNTIFS('Daily Track'!$G$3:$G$130,Chart!$A$23,'Daily Track'!$L$3:$L$130,"&lt;="&amp;Chart!CF2,'Daily Track'!$M$3:$M$130,""),0)</f>
        <v>0</v>
      </c>
      <c r="CG25" s="18">
        <f ca="1">IF(CG2&lt;=NOW(),COUNTIFS('Daily Track'!$G$3:$G$130,Chart!$A$23,'Daily Track'!$L$3:$L$130,"&lt;="&amp;Chart!CG2,'Daily Track'!$M$3:$M$130,"&gt;="&amp;CG2)+COUNTIFS('Daily Track'!$G$3:$G$130,Chart!$A$23,'Daily Track'!$L$3:$L$130,"&lt;="&amp;Chart!CG2,'Daily Track'!$M$3:$M$130,""),0)</f>
        <v>0</v>
      </c>
      <c r="CH25" s="18">
        <f ca="1">IF(CH2&lt;=NOW(),COUNTIFS('Daily Track'!$G$3:$G$130,Chart!$A$23,'Daily Track'!$L$3:$L$130,"&lt;="&amp;Chart!CH2,'Daily Track'!$M$3:$M$130,"&gt;="&amp;CH2)+COUNTIFS('Daily Track'!$G$3:$G$130,Chart!$A$23,'Daily Track'!$L$3:$L$130,"&lt;="&amp;Chart!CH2,'Daily Track'!$M$3:$M$130,""),0)</f>
        <v>0</v>
      </c>
      <c r="CI25" s="18">
        <f ca="1">IF(CI2&lt;=NOW(),COUNTIFS('Daily Track'!$G$3:$G$130,Chart!$A$23,'Daily Track'!$L$3:$L$130,"&lt;="&amp;Chart!CI2,'Daily Track'!$M$3:$M$130,"&gt;="&amp;CI2)+COUNTIFS('Daily Track'!$G$3:$G$130,Chart!$A$23,'Daily Track'!$L$3:$L$130,"&lt;="&amp;Chart!CI2,'Daily Track'!$M$3:$M$130,""),0)</f>
        <v>0</v>
      </c>
      <c r="CJ25" s="18">
        <f ca="1">IF(CJ2&lt;=NOW(),COUNTIFS('Daily Track'!$G$3:$G$130,Chart!$A$23,'Daily Track'!$L$3:$L$130,"&lt;="&amp;Chart!CJ2,'Daily Track'!$M$3:$M$130,"&gt;="&amp;CJ2)+COUNTIFS('Daily Track'!$G$3:$G$130,Chart!$A$23,'Daily Track'!$L$3:$L$130,"&lt;="&amp;Chart!CJ2,'Daily Track'!$M$3:$M$130,""),0)</f>
        <v>0</v>
      </c>
      <c r="CK25" s="18">
        <f ca="1">IF(CK2&lt;=NOW(),COUNTIFS('Daily Track'!$G$3:$G$130,Chart!$A$23,'Daily Track'!$L$3:$L$130,"&lt;="&amp;Chart!CK2,'Daily Track'!$M$3:$M$130,"&gt;="&amp;CK2)+COUNTIFS('Daily Track'!$G$3:$G$130,Chart!$A$23,'Daily Track'!$L$3:$L$130,"&lt;="&amp;Chart!CK2,'Daily Track'!$M$3:$M$130,""),0)</f>
        <v>0</v>
      </c>
      <c r="CL25" s="18">
        <f ca="1">IF(CL2&lt;=NOW(),COUNTIFS('Daily Track'!$G$3:$G$130,Chart!$A$23,'Daily Track'!$L$3:$L$130,"&lt;="&amp;Chart!CL2,'Daily Track'!$M$3:$M$130,"&gt;="&amp;CL2)+COUNTIFS('Daily Track'!$G$3:$G$130,Chart!$A$23,'Daily Track'!$L$3:$L$130,"&lt;="&amp;Chart!CL2,'Daily Track'!$M$3:$M$130,""),0)</f>
        <v>0</v>
      </c>
      <c r="CM25" s="18">
        <f ca="1">IF(CM2&lt;=NOW(),COUNTIFS('Daily Track'!$G$3:$G$130,Chart!$A$23,'Daily Track'!$L$3:$L$130,"&lt;="&amp;Chart!CM2,'Daily Track'!$M$3:$M$130,"&gt;="&amp;CM2)+COUNTIFS('Daily Track'!$G$3:$G$130,Chart!$A$23,'Daily Track'!$L$3:$L$130,"&lt;="&amp;Chart!CM2,'Daily Track'!$M$3:$M$130,""),0)</f>
        <v>0</v>
      </c>
      <c r="CN25" s="18">
        <f ca="1">IF(CN2&lt;=NOW(),COUNTIFS('Daily Track'!$G$3:$G$130,Chart!$A$23,'Daily Track'!$L$3:$L$130,"&lt;="&amp;Chart!CN2,'Daily Track'!$M$3:$M$130,"&gt;="&amp;CN2)+COUNTIFS('Daily Track'!$G$3:$G$130,Chart!$A$23,'Daily Track'!$L$3:$L$130,"&lt;="&amp;Chart!CN2,'Daily Track'!$M$3:$M$130,""),0)</f>
        <v>0</v>
      </c>
      <c r="CO25" s="18">
        <f ca="1">IF(CO2&lt;=NOW(),COUNTIFS('Daily Track'!$G$3:$G$130,Chart!$A$23,'Daily Track'!$L$3:$L$130,"&lt;="&amp;Chart!CO2,'Daily Track'!$M$3:$M$130,"&gt;="&amp;CO2)+COUNTIFS('Daily Track'!$G$3:$G$130,Chart!$A$23,'Daily Track'!$L$3:$L$130,"&lt;="&amp;Chart!CO2,'Daily Track'!$M$3:$M$130,""),0)</f>
        <v>0</v>
      </c>
      <c r="CP25" s="18">
        <f ca="1">IF(CP2&lt;=NOW(),COUNTIFS('Daily Track'!$G$3:$G$130,Chart!$A$23,'Daily Track'!$L$3:$L$130,"&lt;="&amp;Chart!CP2,'Daily Track'!$M$3:$M$130,"&gt;="&amp;CP2)+COUNTIFS('Daily Track'!$G$3:$G$130,Chart!$A$23,'Daily Track'!$L$3:$L$130,"&lt;="&amp;Chart!CP2,'Daily Track'!$M$3:$M$130,""),0)</f>
        <v>0</v>
      </c>
      <c r="CQ25" s="18">
        <f ca="1">IF(CQ2&lt;=NOW(),COUNTIFS('Daily Track'!$G$3:$G$130,Chart!$A$23,'Daily Track'!$L$3:$L$130,"&lt;="&amp;Chart!CQ2,'Daily Track'!$M$3:$M$130,"&gt;="&amp;CQ2)+COUNTIFS('Daily Track'!$G$3:$G$130,Chart!$A$23,'Daily Track'!$L$3:$L$130,"&lt;="&amp;Chart!CQ2,'Daily Track'!$M$3:$M$130,""),0)</f>
        <v>0</v>
      </c>
      <c r="CR25" s="18">
        <f ca="1">IF(CR2&lt;=NOW(),COUNTIFS('Daily Track'!$G$3:$G$130,Chart!$A$23,'Daily Track'!$L$3:$L$130,"&lt;="&amp;Chart!CR2,'Daily Track'!$M$3:$M$130,"&gt;="&amp;CR2)+COUNTIFS('Daily Track'!$G$3:$G$130,Chart!$A$23,'Daily Track'!$L$3:$L$130,"&lt;="&amp;Chart!CR2,'Daily Track'!$M$3:$M$130,""),0)</f>
        <v>0</v>
      </c>
      <c r="CS25" s="18">
        <f ca="1">IF(CS2&lt;=NOW(),COUNTIFS('Daily Track'!$G$3:$G$130,Chart!$A$23,'Daily Track'!$L$3:$L$130,"&lt;="&amp;Chart!CS2,'Daily Track'!$M$3:$M$130,"&gt;="&amp;CS2)+COUNTIFS('Daily Track'!$G$3:$G$130,Chart!$A$23,'Daily Track'!$L$3:$L$130,"&lt;="&amp;Chart!CS2,'Daily Track'!$M$3:$M$130,""),0)</f>
        <v>0</v>
      </c>
      <c r="CT25" s="18">
        <f ca="1">IF(CT2&lt;=NOW(),COUNTIFS('Daily Track'!$G$3:$G$130,Chart!$A$23,'Daily Track'!$L$3:$L$130,"&lt;="&amp;Chart!CT2,'Daily Track'!$M$3:$M$130,"&gt;="&amp;CT2)+COUNTIFS('Daily Track'!$G$3:$G$130,Chart!$A$23,'Daily Track'!$L$3:$L$130,"&lt;="&amp;Chart!CT2,'Daily Track'!$M$3:$M$130,""),0)</f>
        <v>0</v>
      </c>
      <c r="CU25" s="18">
        <f ca="1">IF(CU2&lt;=NOW(),COUNTIFS('Daily Track'!$G$3:$G$130,Chart!$A$23,'Daily Track'!$L$3:$L$130,"&lt;="&amp;Chart!CU2,'Daily Track'!$M$3:$M$130,"&gt;="&amp;CU2)+COUNTIFS('Daily Track'!$G$3:$G$130,Chart!$A$23,'Daily Track'!$L$3:$L$130,"&lt;="&amp;Chart!CU2,'Daily Track'!$M$3:$M$130,""),0)</f>
        <v>0</v>
      </c>
      <c r="CV25" s="18">
        <f ca="1">IF(CV2&lt;=NOW(),COUNTIFS('Daily Track'!$G$3:$G$130,Chart!$A$23,'Daily Track'!$L$3:$L$130,"&lt;="&amp;Chart!CV2,'Daily Track'!$M$3:$M$130,"&gt;="&amp;CV2)+COUNTIFS('Daily Track'!$G$3:$G$130,Chart!$A$23,'Daily Track'!$L$3:$L$130,"&lt;="&amp;Chart!CV2,'Daily Track'!$M$3:$M$130,""),0)</f>
        <v>0</v>
      </c>
    </row>
    <row r="42" spans="1:14">
      <c r="A42" s="103" t="s">
        <v>35</v>
      </c>
      <c r="B42" t="s">
        <v>150</v>
      </c>
    </row>
    <row r="43" spans="1:14">
      <c r="A43" s="17" t="s">
        <v>142</v>
      </c>
    </row>
    <row r="44" spans="1:14">
      <c r="B44" s="103" t="s">
        <v>146</v>
      </c>
      <c r="N44" t="s">
        <v>143</v>
      </c>
    </row>
    <row r="45" spans="1:14">
      <c r="B45" s="108" t="s">
        <v>144</v>
      </c>
      <c r="C45" s="108" t="s">
        <v>141</v>
      </c>
      <c r="D45" s="108" t="s">
        <v>147</v>
      </c>
      <c r="E45" s="108" t="s">
        <v>148</v>
      </c>
      <c r="N45">
        <f>COUNTIFS('Daily Track'!$G$3:$G$130,"="&amp;Chart!A45,'Daily Track'!$L$3:$L$130,"&lt;&gt;"&amp;"",'Daily Track'!$M$3:$M$130,"="&amp;"")</f>
        <v>0</v>
      </c>
    </row>
    <row r="46" spans="1:14">
      <c r="A46" s="103" t="s">
        <v>39</v>
      </c>
      <c r="B46" s="108" t="s">
        <v>85</v>
      </c>
      <c r="C46" s="108" t="s">
        <v>85</v>
      </c>
      <c r="D46" s="108"/>
      <c r="E46" s="108"/>
      <c r="N46">
        <f>COUNTIFS('Daily Track'!$G$3:$G$130,"="&amp;Chart!A46,'Daily Track'!$L$3:$L$130,"&lt;&gt;"&amp;"",'Daily Track'!$M$3:$M$130,"="&amp;"")</f>
        <v>0</v>
      </c>
    </row>
    <row r="47" spans="1:14">
      <c r="A47" s="7" t="s">
        <v>65</v>
      </c>
      <c r="B47" s="8">
        <v>14</v>
      </c>
      <c r="C47" s="8">
        <v>7</v>
      </c>
      <c r="D47" s="8">
        <v>14</v>
      </c>
      <c r="E47" s="8">
        <v>7</v>
      </c>
      <c r="N47">
        <f>COUNTIFS('Daily Track'!$G$3:$G$130,"="&amp;Chart!A47,'Daily Track'!$L$3:$L$130,"&lt;&gt;"&amp;"",'Daily Track'!$M$3:$M$130,"="&amp;"")</f>
        <v>0</v>
      </c>
    </row>
    <row r="48" spans="1:14">
      <c r="A48" s="7" t="s">
        <v>25</v>
      </c>
      <c r="B48" s="8">
        <v>8</v>
      </c>
      <c r="C48" s="8">
        <v>8</v>
      </c>
      <c r="D48" s="8">
        <v>8</v>
      </c>
      <c r="E48" s="8">
        <v>8</v>
      </c>
      <c r="N48">
        <f>COUNTIFS('Daily Track'!$G$3:$G$130,"="&amp;Chart!A48,'Daily Track'!$L$3:$L$130,"&lt;&gt;"&amp;"",'Daily Track'!$M$3:$M$130,"="&amp;"")</f>
        <v>0</v>
      </c>
    </row>
    <row r="49" spans="1:14">
      <c r="A49" s="7" t="s">
        <v>31</v>
      </c>
      <c r="B49" s="8">
        <v>2</v>
      </c>
      <c r="C49" s="8">
        <v>2</v>
      </c>
      <c r="D49" s="8">
        <v>2</v>
      </c>
      <c r="E49" s="8">
        <v>2</v>
      </c>
      <c r="N49">
        <f>COUNTIFS('Daily Track'!$G$3:$G$130,"="&amp;Chart!A49,'Daily Track'!$L$3:$L$130,"&lt;&gt;"&amp;"",'Daily Track'!$M$3:$M$130,"="&amp;"")</f>
        <v>0</v>
      </c>
    </row>
    <row r="50" spans="1:14">
      <c r="A50" s="7" t="s">
        <v>66</v>
      </c>
      <c r="B50" s="8">
        <v>4</v>
      </c>
      <c r="C50" s="8">
        <v>4</v>
      </c>
      <c r="D50" s="8">
        <v>4</v>
      </c>
      <c r="E50" s="8">
        <v>4</v>
      </c>
      <c r="N50">
        <f>COUNTIFS('Daily Track'!$G$3:$G$130,"="&amp;Chart!A50,'Daily Track'!$L$3:$L$130,"&lt;&gt;"&amp;"",'Daily Track'!$M$3:$M$130,"="&amp;"")</f>
        <v>0</v>
      </c>
    </row>
    <row r="51" spans="1:14">
      <c r="A51" s="7" t="s">
        <v>126</v>
      </c>
      <c r="B51" s="8">
        <v>2</v>
      </c>
      <c r="C51" s="8">
        <v>2</v>
      </c>
      <c r="D51" s="8">
        <v>2</v>
      </c>
      <c r="E51" s="8">
        <v>2</v>
      </c>
      <c r="N51">
        <f>COUNTIFS('Daily Track'!$G$3:$G$130,"="&amp;Chart!A51,'Daily Track'!$L$3:$L$130,"&lt;&gt;"&amp;"",'Daily Track'!$M$3:$M$130,"="&amp;"")</f>
        <v>0</v>
      </c>
    </row>
    <row r="52" spans="1:14">
      <c r="A52" s="7" t="s">
        <v>125</v>
      </c>
      <c r="B52" s="8">
        <v>10</v>
      </c>
      <c r="C52" s="8">
        <v>10</v>
      </c>
      <c r="D52" s="8">
        <v>10</v>
      </c>
      <c r="E52" s="8">
        <v>10</v>
      </c>
      <c r="N52">
        <f>COUNTIFS('Daily Track'!$G$3:$G$130,"="&amp;Chart!A52,'Daily Track'!$L$3:$L$130,"&lt;&gt;"&amp;"",'Daily Track'!$M$3:$M$130,"="&amp;"")</f>
        <v>0</v>
      </c>
    </row>
    <row r="53" spans="1:14">
      <c r="A53" s="7" t="s">
        <v>41</v>
      </c>
      <c r="B53" s="8">
        <v>40</v>
      </c>
      <c r="C53" s="8">
        <v>33</v>
      </c>
      <c r="D53" s="8">
        <v>40</v>
      </c>
      <c r="E53" s="8">
        <v>33</v>
      </c>
      <c r="N53">
        <f>COUNTIFS('Daily Track'!$G$3:$G$130,"="&amp;Chart!A53,'Daily Track'!$L$3:$L$130,"&lt;&gt;"&amp;"",'Daily Track'!$M$3:$M$130,"="&amp;"")</f>
        <v>0</v>
      </c>
    </row>
    <row r="54" spans="1:14">
      <c r="N54">
        <f>COUNTIFS('Daily Track'!$G$3:$G$130,"="&amp;Chart!A54,'Daily Track'!$L$3:$L$130,"&lt;&gt;"&amp;"",'Daily Track'!$M$3:$M$130,"="&amp;"")</f>
        <v>0</v>
      </c>
    </row>
    <row r="55" spans="1:14">
      <c r="N55">
        <f>SUM(N45:N54)</f>
        <v>0</v>
      </c>
    </row>
    <row r="66" spans="1:14">
      <c r="A66" s="103" t="s">
        <v>35</v>
      </c>
      <c r="B66" t="s">
        <v>150</v>
      </c>
    </row>
    <row r="67" spans="1:14">
      <c r="A67" s="17" t="s">
        <v>145</v>
      </c>
    </row>
    <row r="68" spans="1:14">
      <c r="A68" s="103" t="s">
        <v>39</v>
      </c>
      <c r="B68" t="s">
        <v>144</v>
      </c>
      <c r="C68" t="s">
        <v>141</v>
      </c>
      <c r="D68" t="s">
        <v>143</v>
      </c>
    </row>
    <row r="69" spans="1:14">
      <c r="A69" s="7" t="s">
        <v>40</v>
      </c>
      <c r="B69" s="8"/>
      <c r="C69" s="8">
        <v>4</v>
      </c>
      <c r="D69">
        <f>COUNTIFS('Daily Track'!$R$3:$R$130,"="&amp;Chart!A69,'Daily Track'!$L$3:$L$130,"&lt;&gt;"&amp;"",'Daily Track'!$M$3:$M$130,"="&amp;"")</f>
        <v>0</v>
      </c>
    </row>
    <row r="70" spans="1:14">
      <c r="A70" s="7" t="s">
        <v>85</v>
      </c>
      <c r="B70" s="8">
        <v>29</v>
      </c>
      <c r="C70" s="8">
        <v>16</v>
      </c>
      <c r="D70">
        <f>COUNTIFS('Daily Track'!$R$3:$R$130,"="&amp;Chart!A70,'Daily Track'!$L$3:$L$130,"&lt;&gt;"&amp;"",'Daily Track'!$M$3:$M$130,"="&amp;"")</f>
        <v>0</v>
      </c>
    </row>
    <row r="71" spans="1:14">
      <c r="A71" s="7" t="s">
        <v>86</v>
      </c>
      <c r="B71" s="8">
        <v>14</v>
      </c>
      <c r="C71" s="8">
        <v>4</v>
      </c>
      <c r="D71">
        <f>COUNTIFS('Daily Track'!$R$3:$R$130,"="&amp;Chart!A71,'Daily Track'!$L$3:$L$130,"&lt;&gt;"&amp;"",'Daily Track'!$M$3:$M$130,"="&amp;"")</f>
        <v>0</v>
      </c>
    </row>
    <row r="72" spans="1:14">
      <c r="A72" s="7" t="s">
        <v>84</v>
      </c>
      <c r="B72" s="8">
        <v>5</v>
      </c>
      <c r="C72" s="8"/>
      <c r="D72">
        <f>COUNTIFS('Daily Track'!$R$3:$R$130,"="&amp;Chart!A72,'Daily Track'!$L$3:$L$130,"&lt;&gt;"&amp;"",'Daily Track'!$M$3:$M$130,"="&amp;"")</f>
        <v>0</v>
      </c>
    </row>
    <row r="73" spans="1:14">
      <c r="A73" s="7" t="s">
        <v>87</v>
      </c>
      <c r="B73" s="8">
        <v>8</v>
      </c>
      <c r="C73" s="8"/>
      <c r="D73">
        <f>COUNTIFS('Daily Track'!$R$3:$R$130,"="&amp;Chart!A73,'Daily Track'!$L$3:$L$130,"&lt;&gt;"&amp;"",'Daily Track'!$M$3:$M$130,"="&amp;"")</f>
        <v>0</v>
      </c>
    </row>
    <row r="74" spans="1:14">
      <c r="A74" s="7" t="s">
        <v>41</v>
      </c>
      <c r="B74" s="8">
        <v>56</v>
      </c>
      <c r="C74" s="8">
        <v>24</v>
      </c>
    </row>
    <row r="79" spans="1:14">
      <c r="A79" s="103" t="s">
        <v>285</v>
      </c>
      <c r="B79" s="103" t="s">
        <v>146</v>
      </c>
    </row>
    <row r="80" spans="1:14">
      <c r="A80" s="103" t="s">
        <v>39</v>
      </c>
      <c r="B80" s="109">
        <v>42823</v>
      </c>
      <c r="C80" s="109">
        <v>42824</v>
      </c>
      <c r="D80" s="109">
        <v>42825</v>
      </c>
      <c r="E80" s="109">
        <v>42827</v>
      </c>
      <c r="F80" s="109">
        <v>42828</v>
      </c>
      <c r="G80" s="109">
        <v>42829</v>
      </c>
      <c r="H80" s="109">
        <v>42830</v>
      </c>
      <c r="I80" s="109">
        <v>42835</v>
      </c>
      <c r="J80" s="109">
        <v>42836</v>
      </c>
      <c r="K80" s="109">
        <v>42838</v>
      </c>
      <c r="L80" s="109">
        <v>42839</v>
      </c>
      <c r="M80" t="s">
        <v>40</v>
      </c>
      <c r="N80" t="s">
        <v>41</v>
      </c>
    </row>
    <row r="81" spans="1:14">
      <c r="A81" s="7" t="s">
        <v>134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</row>
    <row r="82" spans="1:14">
      <c r="A82" s="7" t="s">
        <v>135</v>
      </c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</row>
    <row r="83" spans="1:14">
      <c r="A83" s="7" t="s">
        <v>138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</row>
    <row r="84" spans="1:14">
      <c r="A84" s="7" t="s">
        <v>139</v>
      </c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</row>
    <row r="85" spans="1:14">
      <c r="A85" s="7" t="s">
        <v>137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</row>
    <row r="86" spans="1:14">
      <c r="A86" s="7" t="s">
        <v>136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</row>
    <row r="87" spans="1:14">
      <c r="A87" s="7" t="s">
        <v>115</v>
      </c>
      <c r="B87" s="8"/>
      <c r="C87" s="8"/>
      <c r="D87" s="8"/>
      <c r="E87" s="8"/>
      <c r="F87" s="8"/>
      <c r="G87" s="8">
        <v>1</v>
      </c>
      <c r="H87" s="8"/>
      <c r="I87" s="8"/>
      <c r="J87" s="8"/>
      <c r="K87" s="8"/>
      <c r="L87" s="8"/>
      <c r="M87" s="8"/>
      <c r="N87" s="8">
        <v>1</v>
      </c>
    </row>
    <row r="88" spans="1:14">
      <c r="A88" s="7" t="s">
        <v>112</v>
      </c>
      <c r="B88" s="8"/>
      <c r="C88" s="8"/>
      <c r="D88" s="8"/>
      <c r="E88" s="8"/>
      <c r="F88" s="8"/>
      <c r="G88" s="8">
        <v>1</v>
      </c>
      <c r="H88" s="8"/>
      <c r="I88" s="8"/>
      <c r="J88" s="8"/>
      <c r="K88" s="8"/>
      <c r="L88" s="8"/>
      <c r="M88" s="8"/>
      <c r="N88" s="8">
        <v>1</v>
      </c>
    </row>
    <row r="89" spans="1:14">
      <c r="A89" s="7" t="s">
        <v>122</v>
      </c>
      <c r="B89" s="8"/>
      <c r="C89" s="8"/>
      <c r="D89" s="8"/>
      <c r="E89" s="8"/>
      <c r="F89" s="8"/>
      <c r="G89" s="8">
        <v>2</v>
      </c>
      <c r="H89" s="8"/>
      <c r="I89" s="8"/>
      <c r="J89" s="8"/>
      <c r="K89" s="8"/>
      <c r="L89" s="8"/>
      <c r="M89" s="8"/>
      <c r="N89" s="8">
        <v>2</v>
      </c>
    </row>
    <row r="90" spans="1:14">
      <c r="A90" s="7" t="s">
        <v>117</v>
      </c>
      <c r="B90" s="8"/>
      <c r="C90" s="8">
        <v>2</v>
      </c>
      <c r="D90" s="8"/>
      <c r="E90" s="8"/>
      <c r="F90" s="8"/>
      <c r="G90" s="8"/>
      <c r="H90" s="8"/>
      <c r="I90" s="8">
        <v>1</v>
      </c>
      <c r="J90" s="8"/>
      <c r="K90" s="8"/>
      <c r="L90" s="8"/>
      <c r="M90" s="8"/>
      <c r="N90" s="8">
        <v>3</v>
      </c>
    </row>
    <row r="91" spans="1:14">
      <c r="A91" s="7" t="s">
        <v>88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</row>
    <row r="92" spans="1:14">
      <c r="A92" s="7" t="s">
        <v>119</v>
      </c>
      <c r="B92" s="8"/>
      <c r="C92" s="8"/>
      <c r="D92" s="8">
        <v>2</v>
      </c>
      <c r="E92" s="8"/>
      <c r="F92" s="8"/>
      <c r="G92" s="8"/>
      <c r="H92" s="8"/>
      <c r="I92" s="8"/>
      <c r="J92" s="8"/>
      <c r="K92" s="8"/>
      <c r="L92" s="8"/>
      <c r="M92" s="8"/>
      <c r="N92" s="8">
        <v>2</v>
      </c>
    </row>
    <row r="93" spans="1:14">
      <c r="A93" s="7" t="s">
        <v>63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</row>
    <row r="94" spans="1:14">
      <c r="A94" s="7" t="s">
        <v>151</v>
      </c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1:14">
      <c r="A95" s="7" t="s">
        <v>170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</row>
    <row r="96" spans="1:14">
      <c r="A96" s="7" t="s">
        <v>171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1:14">
      <c r="A97" s="7" t="s">
        <v>172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</row>
    <row r="98" spans="1:14">
      <c r="A98" s="7" t="s">
        <v>173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1:14">
      <c r="A99" s="7" t="s">
        <v>174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1:14">
      <c r="A100" s="7" t="s">
        <v>175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>
      <c r="A101" s="7" t="s">
        <v>176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1:14">
      <c r="A102" s="7" t="s">
        <v>177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1:14">
      <c r="A103" s="7" t="s">
        <v>70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</row>
    <row r="104" spans="1:14">
      <c r="A104" s="7" t="s">
        <v>71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</row>
    <row r="105" spans="1:14">
      <c r="A105" s="7" t="s">
        <v>69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</row>
    <row r="106" spans="1:14">
      <c r="A106" s="7" t="s">
        <v>78</v>
      </c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</row>
    <row r="107" spans="1:14">
      <c r="A107" s="7" t="s">
        <v>178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</row>
    <row r="108" spans="1:14">
      <c r="A108" s="7" t="s">
        <v>179</v>
      </c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1:14">
      <c r="A109" s="7" t="s">
        <v>180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</row>
    <row r="110" spans="1:14">
      <c r="A110" s="7" t="s">
        <v>181</v>
      </c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</row>
    <row r="111" spans="1:14">
      <c r="A111" s="7" t="s">
        <v>182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</row>
    <row r="112" spans="1:14">
      <c r="A112" s="7" t="s">
        <v>183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</row>
    <row r="113" spans="1:14">
      <c r="A113" s="7" t="s">
        <v>184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</row>
    <row r="114" spans="1:14">
      <c r="A114" s="7" t="s">
        <v>185</v>
      </c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1:14">
      <c r="A115" s="7" t="s">
        <v>186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</row>
    <row r="116" spans="1:14">
      <c r="A116" s="7" t="s">
        <v>73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</row>
    <row r="117" spans="1:14">
      <c r="A117" s="7" t="s">
        <v>187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</row>
    <row r="118" spans="1:14">
      <c r="A118" s="7" t="s">
        <v>188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</row>
    <row r="119" spans="1:14">
      <c r="A119" s="7" t="s">
        <v>189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</row>
    <row r="120" spans="1:14">
      <c r="A120" s="7" t="s">
        <v>190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1:14">
      <c r="A121" s="7" t="s">
        <v>74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</row>
    <row r="122" spans="1:14">
      <c r="A122" s="7" t="s">
        <v>75</v>
      </c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</row>
    <row r="123" spans="1:14">
      <c r="A123" s="7" t="s">
        <v>116</v>
      </c>
      <c r="B123" s="8"/>
      <c r="C123" s="8">
        <v>2</v>
      </c>
      <c r="D123" s="8"/>
      <c r="E123" s="8"/>
      <c r="F123" s="8"/>
      <c r="G123" s="8">
        <v>1</v>
      </c>
      <c r="H123" s="8"/>
      <c r="I123" s="8"/>
      <c r="J123" s="8"/>
      <c r="K123" s="8"/>
      <c r="L123" s="8"/>
      <c r="M123" s="8"/>
      <c r="N123" s="8">
        <v>3</v>
      </c>
    </row>
    <row r="124" spans="1:14">
      <c r="A124" s="7" t="s">
        <v>104</v>
      </c>
      <c r="B124" s="8"/>
      <c r="C124" s="8">
        <v>1</v>
      </c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>
        <v>1</v>
      </c>
    </row>
    <row r="125" spans="1:14">
      <c r="A125" s="7" t="s">
        <v>91</v>
      </c>
      <c r="B125" s="8"/>
      <c r="C125" s="8"/>
      <c r="D125" s="8"/>
      <c r="E125" s="8"/>
      <c r="F125" s="8"/>
      <c r="G125" s="8">
        <v>1</v>
      </c>
      <c r="H125" s="8">
        <v>1</v>
      </c>
      <c r="I125" s="8"/>
      <c r="J125" s="8"/>
      <c r="K125" s="8"/>
      <c r="L125" s="8"/>
      <c r="M125" s="8"/>
      <c r="N125" s="8">
        <v>2</v>
      </c>
    </row>
    <row r="126" spans="1:14">
      <c r="A126" s="7" t="s">
        <v>132</v>
      </c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1:14">
      <c r="A127" s="7" t="s">
        <v>163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</row>
    <row r="128" spans="1:14">
      <c r="A128" s="7" t="s">
        <v>164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</row>
    <row r="129" spans="1:14">
      <c r="A129" s="7" t="s">
        <v>162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</row>
    <row r="130" spans="1:14">
      <c r="A130" s="7" t="s">
        <v>57</v>
      </c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</row>
    <row r="131" spans="1:14">
      <c r="A131" s="7" t="s">
        <v>106</v>
      </c>
      <c r="B131" s="8"/>
      <c r="C131" s="8"/>
      <c r="D131" s="8"/>
      <c r="E131" s="8"/>
      <c r="F131" s="8"/>
      <c r="G131" s="8">
        <v>1</v>
      </c>
      <c r="H131" s="8"/>
      <c r="I131" s="8"/>
      <c r="J131" s="8"/>
      <c r="K131" s="8"/>
      <c r="L131" s="8"/>
      <c r="M131" s="8"/>
      <c r="N131" s="8">
        <v>1</v>
      </c>
    </row>
    <row r="132" spans="1:14">
      <c r="A132" s="7" t="s">
        <v>100</v>
      </c>
      <c r="B132" s="8"/>
      <c r="C132" s="8"/>
      <c r="D132" s="8"/>
      <c r="E132" s="8"/>
      <c r="F132" s="8">
        <v>1</v>
      </c>
      <c r="G132" s="8"/>
      <c r="H132" s="8"/>
      <c r="I132" s="8"/>
      <c r="J132" s="8"/>
      <c r="K132" s="8"/>
      <c r="L132" s="8">
        <v>1</v>
      </c>
      <c r="M132" s="8"/>
      <c r="N132" s="8">
        <v>2</v>
      </c>
    </row>
    <row r="133" spans="1:14">
      <c r="A133" s="7" t="s">
        <v>130</v>
      </c>
      <c r="B133" s="8"/>
      <c r="C133" s="8"/>
      <c r="D133" s="8"/>
      <c r="E133" s="8"/>
      <c r="F133" s="8"/>
      <c r="G133" s="8"/>
      <c r="H133" s="8"/>
      <c r="I133" s="8">
        <v>1</v>
      </c>
      <c r="J133" s="8"/>
      <c r="K133" s="8"/>
      <c r="L133" s="8"/>
      <c r="M133" s="8"/>
      <c r="N133" s="8">
        <v>1</v>
      </c>
    </row>
    <row r="134" spans="1:14">
      <c r="A134" s="7" t="s">
        <v>124</v>
      </c>
      <c r="B134" s="8"/>
      <c r="C134" s="8"/>
      <c r="D134" s="8"/>
      <c r="E134" s="8"/>
      <c r="F134" s="8"/>
      <c r="G134" s="8"/>
      <c r="H134" s="8"/>
      <c r="I134" s="8"/>
      <c r="J134" s="8">
        <v>1</v>
      </c>
      <c r="K134" s="8"/>
      <c r="L134" s="8"/>
      <c r="M134" s="8"/>
      <c r="N134" s="8">
        <v>1</v>
      </c>
    </row>
    <row r="135" spans="1:14">
      <c r="A135" s="7" t="s">
        <v>97</v>
      </c>
      <c r="B135" s="8"/>
      <c r="C135" s="8"/>
      <c r="D135" s="8"/>
      <c r="E135" s="8"/>
      <c r="F135" s="8">
        <v>1</v>
      </c>
      <c r="G135" s="8"/>
      <c r="H135" s="8"/>
      <c r="I135" s="8"/>
      <c r="J135" s="8"/>
      <c r="K135" s="8"/>
      <c r="L135" s="8"/>
      <c r="M135" s="8"/>
      <c r="N135" s="8">
        <v>1</v>
      </c>
    </row>
    <row r="136" spans="1:14">
      <c r="A136" s="7" t="s">
        <v>90</v>
      </c>
      <c r="B136" s="8"/>
      <c r="C136" s="8"/>
      <c r="D136" s="8"/>
      <c r="E136" s="8"/>
      <c r="F136" s="8">
        <v>1</v>
      </c>
      <c r="G136" s="8"/>
      <c r="H136" s="8"/>
      <c r="I136" s="8"/>
      <c r="J136" s="8"/>
      <c r="K136" s="8"/>
      <c r="L136" s="8"/>
      <c r="M136" s="8"/>
      <c r="N136" s="8">
        <v>1</v>
      </c>
    </row>
    <row r="137" spans="1:14">
      <c r="A137" s="7" t="s">
        <v>103</v>
      </c>
      <c r="B137" s="8"/>
      <c r="C137" s="8">
        <v>1</v>
      </c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>
        <v>1</v>
      </c>
    </row>
    <row r="138" spans="1:14">
      <c r="A138" s="7" t="s">
        <v>111</v>
      </c>
      <c r="B138" s="8"/>
      <c r="C138" s="8">
        <v>2</v>
      </c>
      <c r="D138" s="8"/>
      <c r="E138" s="8"/>
      <c r="F138" s="8">
        <v>2</v>
      </c>
      <c r="G138" s="8"/>
      <c r="H138" s="8">
        <v>1</v>
      </c>
      <c r="I138" s="8"/>
      <c r="J138" s="8"/>
      <c r="K138" s="8"/>
      <c r="L138" s="8"/>
      <c r="M138" s="8"/>
      <c r="N138" s="8">
        <v>5</v>
      </c>
    </row>
    <row r="139" spans="1:14">
      <c r="A139" s="7" t="s">
        <v>95</v>
      </c>
      <c r="B139" s="8"/>
      <c r="C139" s="8"/>
      <c r="D139" s="8"/>
      <c r="E139" s="8"/>
      <c r="F139" s="8">
        <v>1</v>
      </c>
      <c r="G139" s="8"/>
      <c r="H139" s="8"/>
      <c r="I139" s="8"/>
      <c r="J139" s="8"/>
      <c r="K139" s="8"/>
      <c r="L139" s="8"/>
      <c r="M139" s="8"/>
      <c r="N139" s="8">
        <v>1</v>
      </c>
    </row>
    <row r="140" spans="1:14">
      <c r="A140" s="7" t="s">
        <v>121</v>
      </c>
      <c r="B140" s="8"/>
      <c r="C140" s="8"/>
      <c r="D140" s="8">
        <v>2</v>
      </c>
      <c r="E140" s="8"/>
      <c r="F140" s="8"/>
      <c r="G140" s="8"/>
      <c r="H140" s="8"/>
      <c r="I140" s="8"/>
      <c r="J140" s="8"/>
      <c r="K140" s="8"/>
      <c r="L140" s="8"/>
      <c r="M140" s="8"/>
      <c r="N140" s="8">
        <v>2</v>
      </c>
    </row>
    <row r="141" spans="1:14">
      <c r="A141" s="7" t="s">
        <v>113</v>
      </c>
      <c r="B141" s="8"/>
      <c r="C141" s="8"/>
      <c r="D141" s="8"/>
      <c r="E141" s="8"/>
      <c r="F141" s="8"/>
      <c r="G141" s="8">
        <v>2</v>
      </c>
      <c r="H141" s="8"/>
      <c r="I141" s="8"/>
      <c r="J141" s="8"/>
      <c r="K141" s="8"/>
      <c r="L141" s="8"/>
      <c r="M141" s="8"/>
      <c r="N141" s="8">
        <v>2</v>
      </c>
    </row>
    <row r="142" spans="1:14">
      <c r="A142" s="7" t="s">
        <v>118</v>
      </c>
      <c r="B142" s="8"/>
      <c r="C142" s="8"/>
      <c r="D142" s="8">
        <v>2</v>
      </c>
      <c r="E142" s="8"/>
      <c r="F142" s="8"/>
      <c r="G142" s="8"/>
      <c r="H142" s="8"/>
      <c r="I142" s="8">
        <v>1</v>
      </c>
      <c r="J142" s="8"/>
      <c r="K142" s="8"/>
      <c r="L142" s="8"/>
      <c r="M142" s="8"/>
      <c r="N142" s="8">
        <v>3</v>
      </c>
    </row>
    <row r="143" spans="1:14">
      <c r="A143" s="7" t="s">
        <v>53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</row>
    <row r="144" spans="1:14">
      <c r="A144" s="7" t="s">
        <v>191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</row>
    <row r="145" spans="1:14">
      <c r="A145" s="7" t="s">
        <v>192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</row>
    <row r="146" spans="1:14">
      <c r="A146" s="7" t="s">
        <v>193</v>
      </c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</row>
    <row r="147" spans="1:14">
      <c r="A147" s="7" t="s">
        <v>194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</row>
    <row r="148" spans="1:14">
      <c r="A148" s="7" t="s">
        <v>72</v>
      </c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</row>
    <row r="149" spans="1:14">
      <c r="A149" s="7" t="s">
        <v>195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1:14">
      <c r="A150" s="7" t="s">
        <v>196</v>
      </c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</row>
    <row r="151" spans="1:14">
      <c r="A151" s="7" t="s">
        <v>197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</row>
    <row r="152" spans="1:14">
      <c r="A152" s="7" t="s">
        <v>198</v>
      </c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</row>
    <row r="153" spans="1:14">
      <c r="A153" s="7" t="s">
        <v>50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</row>
    <row r="154" spans="1:14">
      <c r="A154" s="7" t="s">
        <v>199</v>
      </c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</row>
    <row r="155" spans="1:14">
      <c r="A155" s="7" t="s">
        <v>200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</row>
    <row r="156" spans="1:14">
      <c r="A156" s="7" t="s">
        <v>201</v>
      </c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</row>
    <row r="157" spans="1:14">
      <c r="A157" s="7" t="s">
        <v>202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</row>
    <row r="158" spans="1:14">
      <c r="A158" s="7" t="s">
        <v>203</v>
      </c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</row>
    <row r="159" spans="1:14">
      <c r="A159" s="7" t="s">
        <v>204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</row>
    <row r="160" spans="1:14">
      <c r="A160" s="7" t="s">
        <v>205</v>
      </c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</row>
    <row r="161" spans="1:14">
      <c r="A161" s="7" t="s">
        <v>206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</row>
    <row r="162" spans="1:14">
      <c r="A162" s="7" t="s">
        <v>207</v>
      </c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</row>
    <row r="163" spans="1:14">
      <c r="A163" s="7" t="s">
        <v>149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</row>
    <row r="164" spans="1:14">
      <c r="A164" s="7" t="s">
        <v>152</v>
      </c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</row>
    <row r="165" spans="1:14">
      <c r="A165" s="7" t="s">
        <v>208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</row>
    <row r="166" spans="1:14">
      <c r="A166" s="7" t="s">
        <v>209</v>
      </c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</row>
    <row r="167" spans="1:14">
      <c r="A167" s="7" t="s">
        <v>210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</row>
    <row r="168" spans="1:14">
      <c r="A168" s="7" t="s">
        <v>211</v>
      </c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</row>
    <row r="169" spans="1:14">
      <c r="A169" s="7" t="s">
        <v>120</v>
      </c>
      <c r="B169" s="8"/>
      <c r="C169" s="8"/>
      <c r="D169" s="8">
        <v>2</v>
      </c>
      <c r="E169" s="8"/>
      <c r="F169" s="8"/>
      <c r="G169" s="8"/>
      <c r="H169" s="8"/>
      <c r="I169" s="8"/>
      <c r="J169" s="8"/>
      <c r="K169" s="8"/>
      <c r="L169" s="8"/>
      <c r="M169" s="8"/>
      <c r="N169" s="8">
        <v>2</v>
      </c>
    </row>
    <row r="170" spans="1:14">
      <c r="A170" s="7" t="s">
        <v>59</v>
      </c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</row>
    <row r="171" spans="1:14">
      <c r="A171" s="7" t="s">
        <v>212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</row>
    <row r="172" spans="1:14">
      <c r="A172" s="7" t="s">
        <v>213</v>
      </c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</row>
    <row r="173" spans="1:14">
      <c r="A173" s="7" t="s">
        <v>214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</row>
    <row r="174" spans="1:14">
      <c r="A174" s="7" t="s">
        <v>215</v>
      </c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</row>
    <row r="175" spans="1:14">
      <c r="A175" s="7" t="s">
        <v>216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</row>
    <row r="176" spans="1:14">
      <c r="A176" s="7" t="s">
        <v>79</v>
      </c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</row>
    <row r="177" spans="1:14">
      <c r="A177" s="7" t="s">
        <v>217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</row>
    <row r="178" spans="1:14">
      <c r="A178" s="7" t="s">
        <v>218</v>
      </c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</row>
    <row r="179" spans="1:14">
      <c r="A179" s="7" t="s">
        <v>219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</row>
    <row r="180" spans="1:14">
      <c r="A180" s="7" t="s">
        <v>220</v>
      </c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</row>
    <row r="181" spans="1:14">
      <c r="A181" s="7" t="s">
        <v>68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</row>
    <row r="182" spans="1:14">
      <c r="A182" s="7" t="s">
        <v>165</v>
      </c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</row>
    <row r="183" spans="1:14">
      <c r="A183" s="7" t="s">
        <v>166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</row>
    <row r="184" spans="1:14">
      <c r="A184" s="7" t="s">
        <v>153</v>
      </c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</row>
    <row r="185" spans="1:14">
      <c r="A185" s="7" t="s">
        <v>140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</row>
    <row r="186" spans="1:14">
      <c r="A186" s="7" t="s">
        <v>221</v>
      </c>
      <c r="B186" s="8"/>
      <c r="C186" s="8"/>
      <c r="D186" s="8"/>
      <c r="E186" s="8"/>
      <c r="F186" s="8"/>
      <c r="G186" s="8"/>
      <c r="H186" s="8">
        <v>1</v>
      </c>
      <c r="I186" s="8"/>
      <c r="J186" s="8"/>
      <c r="K186" s="8"/>
      <c r="L186" s="8"/>
      <c r="M186" s="8"/>
      <c r="N186" s="8">
        <v>1</v>
      </c>
    </row>
    <row r="187" spans="1:14">
      <c r="A187" s="7" t="s">
        <v>222</v>
      </c>
      <c r="B187" s="8"/>
      <c r="C187" s="8"/>
      <c r="D187" s="8"/>
      <c r="E187" s="8"/>
      <c r="F187" s="8"/>
      <c r="G187" s="8">
        <v>1</v>
      </c>
      <c r="H187" s="8"/>
      <c r="I187" s="8"/>
      <c r="J187" s="8"/>
      <c r="K187" s="8"/>
      <c r="L187" s="8"/>
      <c r="M187" s="8"/>
      <c r="N187" s="8">
        <v>1</v>
      </c>
    </row>
    <row r="188" spans="1:14">
      <c r="A188" s="7" t="s">
        <v>223</v>
      </c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1:14">
      <c r="A189" s="7" t="s">
        <v>224</v>
      </c>
      <c r="B189" s="8"/>
      <c r="C189" s="8"/>
      <c r="D189" s="8"/>
      <c r="E189" s="8"/>
      <c r="F189" s="8"/>
      <c r="G189" s="8">
        <v>1</v>
      </c>
      <c r="H189" s="8"/>
      <c r="I189" s="8"/>
      <c r="J189" s="8"/>
      <c r="K189" s="8"/>
      <c r="L189" s="8"/>
      <c r="M189" s="8"/>
      <c r="N189" s="8">
        <v>1</v>
      </c>
    </row>
    <row r="190" spans="1:14">
      <c r="A190" s="7" t="s">
        <v>225</v>
      </c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1:14">
      <c r="A191" s="7" t="s">
        <v>129</v>
      </c>
      <c r="B191" s="8"/>
      <c r="C191" s="8"/>
      <c r="D191" s="8"/>
      <c r="E191" s="8"/>
      <c r="F191" s="8"/>
      <c r="G191" s="8"/>
      <c r="H191" s="8">
        <v>1</v>
      </c>
      <c r="I191" s="8"/>
      <c r="J191" s="8"/>
      <c r="K191" s="8"/>
      <c r="L191" s="8"/>
      <c r="M191" s="8"/>
      <c r="N191" s="8">
        <v>1</v>
      </c>
    </row>
    <row r="192" spans="1:14">
      <c r="A192" s="7" t="s">
        <v>96</v>
      </c>
      <c r="B192" s="8"/>
      <c r="C192" s="8"/>
      <c r="D192" s="8">
        <v>1</v>
      </c>
      <c r="E192" s="8"/>
      <c r="F192" s="8"/>
      <c r="G192" s="8"/>
      <c r="H192" s="8"/>
      <c r="I192" s="8"/>
      <c r="J192" s="8"/>
      <c r="K192" s="8"/>
      <c r="L192" s="8"/>
      <c r="M192" s="8"/>
      <c r="N192" s="8">
        <v>1</v>
      </c>
    </row>
    <row r="193" spans="1:14">
      <c r="A193" s="7" t="s">
        <v>89</v>
      </c>
      <c r="B193" s="8"/>
      <c r="C193" s="8"/>
      <c r="D193" s="8"/>
      <c r="E193" s="8">
        <v>1</v>
      </c>
      <c r="F193" s="8"/>
      <c r="G193" s="8"/>
      <c r="H193" s="8"/>
      <c r="I193" s="8"/>
      <c r="J193" s="8"/>
      <c r="K193" s="8"/>
      <c r="L193" s="8"/>
      <c r="M193" s="8"/>
      <c r="N193" s="8">
        <v>1</v>
      </c>
    </row>
    <row r="194" spans="1:14">
      <c r="A194" s="7" t="s">
        <v>76</v>
      </c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1:14">
      <c r="A195" s="7" t="s">
        <v>161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1:14">
      <c r="A196" s="7" t="s">
        <v>48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1:14">
      <c r="A197" s="7" t="s">
        <v>226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1:14">
      <c r="A198" s="7" t="s">
        <v>227</v>
      </c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1:14">
      <c r="A199" s="7" t="s">
        <v>228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1:14">
      <c r="A200" s="7" t="s">
        <v>229</v>
      </c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1:14">
      <c r="A201" s="7" t="s">
        <v>47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1:14">
      <c r="A202" s="7" t="s">
        <v>230</v>
      </c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1:14">
      <c r="A203" s="7" t="s">
        <v>231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1:14">
      <c r="A204" s="7" t="s">
        <v>232</v>
      </c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1:14">
      <c r="A205" s="7" t="s">
        <v>233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1:14">
      <c r="A206" s="7" t="s">
        <v>234</v>
      </c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1:14">
      <c r="A207" s="7" t="s">
        <v>235</v>
      </c>
      <c r="B207" s="8"/>
      <c r="C207" s="8"/>
      <c r="D207" s="8"/>
      <c r="E207" s="8"/>
      <c r="F207" s="8"/>
      <c r="G207" s="8"/>
      <c r="H207" s="8"/>
      <c r="I207" s="8">
        <v>1</v>
      </c>
      <c r="J207" s="8"/>
      <c r="K207" s="8"/>
      <c r="L207" s="8"/>
      <c r="M207" s="8"/>
      <c r="N207" s="8">
        <v>1</v>
      </c>
    </row>
    <row r="208" spans="1:14">
      <c r="A208" s="7" t="s">
        <v>236</v>
      </c>
      <c r="B208" s="8"/>
      <c r="C208" s="8"/>
      <c r="D208" s="8"/>
      <c r="E208" s="8"/>
      <c r="F208" s="8"/>
      <c r="G208" s="8"/>
      <c r="H208" s="8">
        <v>1</v>
      </c>
      <c r="I208" s="8"/>
      <c r="J208" s="8"/>
      <c r="K208" s="8"/>
      <c r="L208" s="8"/>
      <c r="M208" s="8"/>
      <c r="N208" s="8">
        <v>1</v>
      </c>
    </row>
    <row r="209" spans="1:14">
      <c r="A209" s="7" t="s">
        <v>56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1:14">
      <c r="A210" s="7" t="s">
        <v>102</v>
      </c>
      <c r="B210" s="8"/>
      <c r="C210" s="8">
        <v>1</v>
      </c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>
        <v>1</v>
      </c>
    </row>
    <row r="211" spans="1:14">
      <c r="A211" s="7" t="s">
        <v>110</v>
      </c>
      <c r="B211" s="8"/>
      <c r="C211" s="8"/>
      <c r="D211" s="8"/>
      <c r="E211" s="8"/>
      <c r="F211" s="8">
        <v>2</v>
      </c>
      <c r="G211" s="8"/>
      <c r="H211" s="8"/>
      <c r="I211" s="8"/>
      <c r="J211" s="8"/>
      <c r="K211" s="8"/>
      <c r="L211" s="8"/>
      <c r="M211" s="8"/>
      <c r="N211" s="8">
        <v>2</v>
      </c>
    </row>
    <row r="212" spans="1:14">
      <c r="A212" s="7" t="s">
        <v>98</v>
      </c>
      <c r="B212" s="8"/>
      <c r="C212" s="8"/>
      <c r="D212" s="8"/>
      <c r="E212" s="8">
        <v>1</v>
      </c>
      <c r="F212" s="8"/>
      <c r="G212" s="8"/>
      <c r="H212" s="8"/>
      <c r="I212" s="8"/>
      <c r="J212" s="8"/>
      <c r="K212" s="8">
        <v>1</v>
      </c>
      <c r="L212" s="8"/>
      <c r="M212" s="8"/>
      <c r="N212" s="8">
        <v>2</v>
      </c>
    </row>
    <row r="213" spans="1:14">
      <c r="A213" s="7" t="s">
        <v>99</v>
      </c>
      <c r="B213" s="8"/>
      <c r="C213" s="8"/>
      <c r="D213" s="8"/>
      <c r="E213" s="8"/>
      <c r="F213" s="8">
        <v>1</v>
      </c>
      <c r="G213" s="8"/>
      <c r="H213" s="8"/>
      <c r="I213" s="8"/>
      <c r="J213" s="8"/>
      <c r="K213" s="8">
        <v>1</v>
      </c>
      <c r="L213" s="8"/>
      <c r="M213" s="8"/>
      <c r="N213" s="8">
        <v>2</v>
      </c>
    </row>
    <row r="214" spans="1:14">
      <c r="A214" s="7" t="s">
        <v>109</v>
      </c>
      <c r="B214" s="8"/>
      <c r="C214" s="8"/>
      <c r="D214" s="8">
        <v>2</v>
      </c>
      <c r="E214" s="8"/>
      <c r="F214" s="8"/>
      <c r="G214" s="8"/>
      <c r="H214" s="8"/>
      <c r="I214" s="8"/>
      <c r="J214" s="8"/>
      <c r="K214" s="8"/>
      <c r="L214" s="8"/>
      <c r="M214" s="8"/>
      <c r="N214" s="8">
        <v>2</v>
      </c>
    </row>
    <row r="215" spans="1:14">
      <c r="A215" s="7" t="s">
        <v>114</v>
      </c>
      <c r="B215" s="8"/>
      <c r="C215" s="8"/>
      <c r="D215" s="8">
        <v>1</v>
      </c>
      <c r="E215" s="8"/>
      <c r="F215" s="8"/>
      <c r="G215" s="8"/>
      <c r="H215" s="8"/>
      <c r="I215" s="8"/>
      <c r="J215" s="8"/>
      <c r="K215" s="8"/>
      <c r="L215" s="8"/>
      <c r="M215" s="8"/>
      <c r="N215" s="8">
        <v>1</v>
      </c>
    </row>
    <row r="216" spans="1:14">
      <c r="A216" s="7" t="s">
        <v>107</v>
      </c>
      <c r="B216" s="8"/>
      <c r="C216" s="8"/>
      <c r="D216" s="8">
        <v>1</v>
      </c>
      <c r="E216" s="8"/>
      <c r="F216" s="8"/>
      <c r="G216" s="8"/>
      <c r="H216" s="8"/>
      <c r="I216" s="8"/>
      <c r="J216" s="8"/>
      <c r="K216" s="8"/>
      <c r="L216" s="8"/>
      <c r="M216" s="8"/>
      <c r="N216" s="8">
        <v>1</v>
      </c>
    </row>
    <row r="217" spans="1:14">
      <c r="A217" s="7" t="s">
        <v>61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1:14">
      <c r="A218" s="7" t="s">
        <v>60</v>
      </c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1:14">
      <c r="A219" s="7" t="s">
        <v>131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1:14">
      <c r="A220" s="7" t="s">
        <v>80</v>
      </c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1:14">
      <c r="A221" s="7" t="s">
        <v>237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1:14">
      <c r="A222" s="7" t="s">
        <v>238</v>
      </c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1:14">
      <c r="A223" s="7" t="s">
        <v>239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1:14">
      <c r="A224" s="7" t="s">
        <v>240</v>
      </c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1:14">
      <c r="A225" s="7" t="s">
        <v>127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1:14">
      <c r="A226" s="7" t="s">
        <v>81</v>
      </c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1:14">
      <c r="A227" s="7" t="s">
        <v>241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1:14">
      <c r="A228" s="7" t="s">
        <v>242</v>
      </c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1:14">
      <c r="A229" s="7" t="s">
        <v>243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1:14">
      <c r="A230" s="7" t="s">
        <v>244</v>
      </c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1:14">
      <c r="A231" s="7" t="s">
        <v>62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1:14">
      <c r="A232" s="7" t="s">
        <v>92</v>
      </c>
      <c r="B232" s="8">
        <v>1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>
        <v>1</v>
      </c>
    </row>
    <row r="233" spans="1:14">
      <c r="A233" s="7" t="s">
        <v>245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1:14">
      <c r="A234" s="7" t="s">
        <v>246</v>
      </c>
      <c r="B234" s="8"/>
      <c r="C234" s="8"/>
      <c r="D234" s="8"/>
      <c r="E234" s="8"/>
      <c r="F234" s="8"/>
      <c r="G234" s="8"/>
      <c r="H234" s="8">
        <v>1</v>
      </c>
      <c r="I234" s="8"/>
      <c r="J234" s="8"/>
      <c r="K234" s="8"/>
      <c r="L234" s="8"/>
      <c r="M234" s="8"/>
      <c r="N234" s="8">
        <v>1</v>
      </c>
    </row>
    <row r="235" spans="1:14">
      <c r="A235" s="7" t="s">
        <v>247</v>
      </c>
      <c r="B235" s="8"/>
      <c r="C235" s="8"/>
      <c r="D235" s="8"/>
      <c r="E235" s="8"/>
      <c r="F235" s="8"/>
      <c r="G235" s="8">
        <v>1</v>
      </c>
      <c r="H235" s="8"/>
      <c r="I235" s="8"/>
      <c r="J235" s="8"/>
      <c r="K235" s="8"/>
      <c r="L235" s="8"/>
      <c r="M235" s="8"/>
      <c r="N235" s="8">
        <v>1</v>
      </c>
    </row>
    <row r="236" spans="1:14">
      <c r="A236" s="7" t="s">
        <v>82</v>
      </c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1:14">
      <c r="A237" s="7" t="s">
        <v>248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1:14">
      <c r="A238" s="7" t="s">
        <v>249</v>
      </c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1:14">
      <c r="A239" s="7" t="s">
        <v>250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1:14">
      <c r="A240" s="7" t="s">
        <v>251</v>
      </c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1:14">
      <c r="A241" s="7" t="s">
        <v>55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1:14">
      <c r="A242" s="7" t="s">
        <v>58</v>
      </c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1:14">
      <c r="A243" s="7" t="s">
        <v>252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1:14">
      <c r="A244" s="7" t="s">
        <v>253</v>
      </c>
      <c r="B244" s="8"/>
      <c r="C244" s="8">
        <v>1</v>
      </c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>
        <v>1</v>
      </c>
    </row>
    <row r="245" spans="1:14">
      <c r="A245" s="7" t="s">
        <v>254</v>
      </c>
      <c r="B245" s="8"/>
      <c r="C245" s="8">
        <v>1</v>
      </c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>
        <v>1</v>
      </c>
    </row>
    <row r="246" spans="1:14">
      <c r="A246" s="7" t="s">
        <v>128</v>
      </c>
      <c r="B246" s="8"/>
      <c r="C246" s="8"/>
      <c r="D246" s="8"/>
      <c r="E246" s="8"/>
      <c r="F246" s="8">
        <v>1</v>
      </c>
      <c r="G246" s="8"/>
      <c r="H246" s="8"/>
      <c r="I246" s="8"/>
      <c r="J246" s="8"/>
      <c r="K246" s="8"/>
      <c r="L246" s="8"/>
      <c r="M246" s="8"/>
      <c r="N246" s="8">
        <v>1</v>
      </c>
    </row>
    <row r="247" spans="1:14">
      <c r="A247" s="7" t="s">
        <v>51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1:14">
      <c r="A248" s="7" t="s">
        <v>255</v>
      </c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1:14">
      <c r="A249" s="7" t="s">
        <v>256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1:14">
      <c r="A250" s="7" t="s">
        <v>257</v>
      </c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1:14">
      <c r="A251" s="7" t="s">
        <v>258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1:14">
      <c r="A252" s="7" t="s">
        <v>52</v>
      </c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1:14">
      <c r="A253" s="7" t="s">
        <v>259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1:14">
      <c r="A254" s="7" t="s">
        <v>260</v>
      </c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1:14">
      <c r="A255" s="7" t="s">
        <v>261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1:14">
      <c r="A256" s="7" t="s">
        <v>262</v>
      </c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1:14">
      <c r="A257" s="7" t="s">
        <v>101</v>
      </c>
      <c r="B257" s="8"/>
      <c r="C257" s="8">
        <v>1</v>
      </c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>
        <v>1</v>
      </c>
    </row>
    <row r="258" spans="1:14">
      <c r="A258" s="7" t="s">
        <v>83</v>
      </c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1:14">
      <c r="A259" s="7" t="s">
        <v>263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1:14">
      <c r="A260" s="7" t="s">
        <v>264</v>
      </c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1:14">
      <c r="A261" s="7" t="s">
        <v>265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1:14">
      <c r="A262" s="7" t="s">
        <v>266</v>
      </c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1:14">
      <c r="A263" s="7" t="s">
        <v>54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1:14">
      <c r="A264" s="7" t="s">
        <v>155</v>
      </c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1:14">
      <c r="A265" s="7" t="s">
        <v>157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1:14">
      <c r="A266" s="7" t="s">
        <v>154</v>
      </c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1:14">
      <c r="A267" s="7" t="s">
        <v>158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1:14">
      <c r="A268" s="7" t="s">
        <v>159</v>
      </c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1:14">
      <c r="A269" s="7" t="s">
        <v>156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1:14">
      <c r="A270" s="7" t="s">
        <v>160</v>
      </c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1:14">
      <c r="A271" s="7" t="s">
        <v>267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1:14">
      <c r="A272" s="7" t="s">
        <v>268</v>
      </c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1:14">
      <c r="A273" s="7" t="s">
        <v>269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1:14">
      <c r="A274" s="7" t="s">
        <v>270</v>
      </c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1:14">
      <c r="A275" s="7" t="s">
        <v>271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1:14">
      <c r="A276" s="7" t="s">
        <v>272</v>
      </c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1:14">
      <c r="A277" s="7" t="s">
        <v>273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1:14">
      <c r="A278" s="7" t="s">
        <v>274</v>
      </c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1:14">
      <c r="A279" s="7" t="s">
        <v>275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1:14">
      <c r="A280" s="7" t="s">
        <v>276</v>
      </c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1:14">
      <c r="A281" s="7" t="s">
        <v>123</v>
      </c>
      <c r="B281" s="8"/>
      <c r="C281" s="8"/>
      <c r="D281" s="8"/>
      <c r="E281" s="8"/>
      <c r="F281" s="8"/>
      <c r="G281" s="8"/>
      <c r="H281" s="8"/>
      <c r="I281" s="8">
        <v>1</v>
      </c>
      <c r="J281" s="8"/>
      <c r="K281" s="8"/>
      <c r="L281" s="8"/>
      <c r="M281" s="8"/>
      <c r="N281" s="8">
        <v>1</v>
      </c>
    </row>
    <row r="282" spans="1:14">
      <c r="A282" s="7" t="s">
        <v>93</v>
      </c>
      <c r="B282" s="8"/>
      <c r="C282" s="8"/>
      <c r="D282" s="8">
        <v>1</v>
      </c>
      <c r="E282" s="8"/>
      <c r="F282" s="8"/>
      <c r="G282" s="8"/>
      <c r="H282" s="8"/>
      <c r="I282" s="8"/>
      <c r="J282" s="8"/>
      <c r="K282" s="8"/>
      <c r="L282" s="8"/>
      <c r="M282" s="8"/>
      <c r="N282" s="8">
        <v>1</v>
      </c>
    </row>
    <row r="283" spans="1:14">
      <c r="A283" s="7" t="s">
        <v>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1:14">
      <c r="A284" s="7" t="s">
        <v>167</v>
      </c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1:14">
      <c r="A285" s="7" t="s">
        <v>168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1:14">
      <c r="A286" s="7" t="s">
        <v>169</v>
      </c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1:14">
      <c r="A287" s="7" t="s">
        <v>105</v>
      </c>
      <c r="B287" s="8"/>
      <c r="C287" s="8"/>
      <c r="D287" s="8"/>
      <c r="E287" s="8"/>
      <c r="F287" s="8">
        <v>1</v>
      </c>
      <c r="G287" s="8"/>
      <c r="H287" s="8"/>
      <c r="I287" s="8"/>
      <c r="J287" s="8"/>
      <c r="K287" s="8"/>
      <c r="L287" s="8"/>
      <c r="M287" s="8"/>
      <c r="N287" s="8">
        <v>1</v>
      </c>
    </row>
    <row r="288" spans="1:14">
      <c r="A288" s="7" t="s">
        <v>94</v>
      </c>
      <c r="B288" s="8"/>
      <c r="C288" s="8"/>
      <c r="D288" s="8"/>
      <c r="E288" s="8"/>
      <c r="F288" s="8">
        <v>1</v>
      </c>
      <c r="G288" s="8"/>
      <c r="H288" s="8"/>
      <c r="I288" s="8"/>
      <c r="J288" s="8"/>
      <c r="K288" s="8"/>
      <c r="L288" s="8"/>
      <c r="M288" s="8"/>
      <c r="N288" s="8">
        <v>1</v>
      </c>
    </row>
    <row r="289" spans="1:14">
      <c r="A289" s="7" t="s">
        <v>108</v>
      </c>
      <c r="B289" s="8"/>
      <c r="C289" s="8"/>
      <c r="D289" s="8">
        <v>1</v>
      </c>
      <c r="E289" s="8"/>
      <c r="F289" s="8"/>
      <c r="G289" s="8"/>
      <c r="H289" s="8"/>
      <c r="I289" s="8"/>
      <c r="J289" s="8"/>
      <c r="K289" s="8"/>
      <c r="L289" s="8"/>
      <c r="M289" s="8"/>
      <c r="N289" s="8">
        <v>1</v>
      </c>
    </row>
    <row r="290" spans="1:14">
      <c r="A290" s="7" t="s">
        <v>133</v>
      </c>
      <c r="B290" s="8"/>
      <c r="C290" s="8"/>
      <c r="D290" s="8"/>
      <c r="E290" s="8"/>
      <c r="F290" s="8"/>
      <c r="G290" s="8">
        <v>1</v>
      </c>
      <c r="H290" s="8"/>
      <c r="I290" s="8"/>
      <c r="J290" s="8"/>
      <c r="K290" s="8"/>
      <c r="L290" s="8"/>
      <c r="M290" s="8"/>
      <c r="N290" s="8">
        <v>1</v>
      </c>
    </row>
    <row r="291" spans="1:14">
      <c r="A291" s="7" t="s">
        <v>64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1:14">
      <c r="A292" s="7" t="s">
        <v>277</v>
      </c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1:14">
      <c r="A293" s="7" t="s">
        <v>278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1:14">
      <c r="A294" s="7" t="s">
        <v>279</v>
      </c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1:14">
      <c r="A295" s="7" t="s">
        <v>280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1:14">
      <c r="A296" s="7" t="s">
        <v>49</v>
      </c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1:14">
      <c r="A297" s="7" t="s">
        <v>281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1:14">
      <c r="A298" s="7" t="s">
        <v>282</v>
      </c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1:14">
      <c r="A299" s="7" t="s">
        <v>283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1:14">
      <c r="A300" s="7" t="s">
        <v>284</v>
      </c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1:14">
      <c r="A301" s="7" t="s">
        <v>40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1:14">
      <c r="A302" s="7" t="s">
        <v>41</v>
      </c>
      <c r="B302" s="8">
        <v>1</v>
      </c>
      <c r="C302" s="8">
        <v>12</v>
      </c>
      <c r="D302" s="8">
        <v>15</v>
      </c>
      <c r="E302" s="8">
        <v>2</v>
      </c>
      <c r="F302" s="8">
        <v>12</v>
      </c>
      <c r="G302" s="8">
        <v>13</v>
      </c>
      <c r="H302" s="8">
        <v>6</v>
      </c>
      <c r="I302" s="8">
        <v>5</v>
      </c>
      <c r="J302" s="8">
        <v>1</v>
      </c>
      <c r="K302" s="8">
        <v>2</v>
      </c>
      <c r="L302" s="8">
        <v>1</v>
      </c>
      <c r="M302" s="8"/>
      <c r="N302" s="8">
        <v>70</v>
      </c>
    </row>
  </sheetData>
  <customSheetViews>
    <customSheetView guid="{EF4C86B4-137F-4865-AAA8-DFA18E73126C}" hiddenRows="1">
      <selection activeCell="C22" sqref="C22"/>
      <pageMargins left="0.7" right="0.7" top="0.75" bottom="0.75" header="0.3" footer="0.3"/>
      <pageSetup orientation="portrait" r:id="rId4"/>
    </customSheetView>
    <customSheetView guid="{C04FD524-FA0C-4C41-A249-FB149D6DB51F}" hiddenRows="1">
      <selection activeCell="AG4" sqref="AG4"/>
      <pageMargins left="0.7" right="0.7" top="0.75" bottom="0.75" header="0.3" footer="0.3"/>
      <pageSetup orientation="portrait" r:id="rId5"/>
    </customSheetView>
    <customSheetView guid="{496B1B49-F920-48C1-B26E-9A1F4E6E5157}" hiddenRows="1" topLeftCell="A17">
      <selection activeCell="AJ22" sqref="AJ22"/>
      <pageMargins left="0.7" right="0.7" top="0.75" bottom="0.75" header="0.3" footer="0.3"/>
      <pageSetup orientation="portrait" r:id="rId6"/>
    </customSheetView>
    <customSheetView guid="{28579E25-F775-48E1-98C2-206BE5E524FE}" hiddenRows="1">
      <selection activeCell="AG4" sqref="AG4"/>
      <pageMargins left="0.7" right="0.7" top="0.75" bottom="0.75" header="0.3" footer="0.3"/>
      <pageSetup orientation="portrait" r:id="rId7"/>
    </customSheetView>
    <customSheetView guid="{5DC62200-E966-42EC-876C-0B719896BF62}" hiddenRows="1">
      <selection activeCell="AG4" sqref="AG4"/>
      <pageMargins left="0.7" right="0.7" top="0.75" bottom="0.75" header="0.3" footer="0.3"/>
      <pageSetup orientation="portrait" r:id="rId8"/>
    </customSheetView>
    <customSheetView guid="{63BBB3C8-2BBD-47A9-8577-895E120CF491}" hiddenRows="1">
      <selection activeCell="AF4" sqref="AF4"/>
      <pageMargins left="0.7" right="0.7" top="0.75" bottom="0.75" header="0.3" footer="0.3"/>
      <pageSetup orientation="portrait" r:id="rId9"/>
    </customSheetView>
    <customSheetView guid="{C55B95B2-4161-4E6D-8703-1A83FF9F95D4}" hiddenRows="1" topLeftCell="A4">
      <selection activeCell="AK4" sqref="AK4"/>
      <pageMargins left="0.7" right="0.7" top="0.75" bottom="0.75" header="0.3" footer="0.3"/>
      <pageSetup orientation="portrait" r:id="rId10"/>
    </customSheetView>
    <customSheetView guid="{8C47ADE1-7CA3-4AB3-A749-547B18615B1D}" hiddenRows="1">
      <selection activeCell="AD4" sqref="AD4"/>
      <pageMargins left="0.7" right="0.7" top="0.75" bottom="0.75" header="0.3" footer="0.3"/>
      <pageSetup orientation="portrait" r:id="rId11"/>
    </customSheetView>
    <customSheetView guid="{051D1CA9-AD3E-4268-8658-F8950473509F}" hiddenRows="1">
      <selection activeCell="K3" sqref="K3"/>
      <pageMargins left="0.7" right="0.7" top="0.75" bottom="0.75" header="0.3" footer="0.3"/>
      <pageSetup orientation="portrait" r:id="rId12"/>
    </customSheetView>
    <customSheetView guid="{7AC9EE31-E3C8-43A5-8490-C2342F28991D}" hiddenRows="1">
      <selection activeCell="AE4" sqref="AE4"/>
      <pageMargins left="0.7" right="0.7" top="0.75" bottom="0.75" header="0.3" footer="0.3"/>
      <pageSetup orientation="portrait" r:id="rId13"/>
    </customSheetView>
    <customSheetView guid="{44117B2C-C61F-437C-A9C5-65A80C2AE348}" hiddenRows="1" topLeftCell="A13">
      <selection activeCell="A41" sqref="A41"/>
      <pageMargins left="0.7" right="0.7" top="0.75" bottom="0.75" header="0.3" footer="0.3"/>
      <pageSetup orientation="portrait" r:id="rId14"/>
    </customSheetView>
    <customSheetView guid="{A521652D-57C6-4292-A79A-663908B7FF11}" hiddenRows="1">
      <selection activeCell="K3" sqref="K3"/>
      <pageMargins left="0.7" right="0.7" top="0.75" bottom="0.75" header="0.3" footer="0.3"/>
      <pageSetup orientation="portrait" r:id="rId15"/>
    </customSheetView>
    <customSheetView guid="{8EE48057-80AB-4D49-9FEE-65CF78F2A246}">
      <selection activeCell="A21" sqref="A21"/>
      <pageMargins left="0.7" right="0.7" top="0.75" bottom="0.75" header="0.3" footer="0.3"/>
      <pageSetup orientation="portrait" r:id="rId16"/>
    </customSheetView>
    <customSheetView guid="{9B6049CB-74F7-4A4B-BDEE-129DA6BA93C7}" hiddenRows="1">
      <selection activeCell="U4" sqref="U4"/>
      <pageMargins left="0.7" right="0.7" top="0.75" bottom="0.75" header="0.3" footer="0.3"/>
      <pageSetup orientation="portrait" r:id="rId17"/>
    </customSheetView>
    <customSheetView guid="{BA680C88-7FC3-49C3-AA14-74432754B497}" hiddenRows="1">
      <selection activeCell="Z20" sqref="Z20"/>
      <pageMargins left="0.7" right="0.7" top="0.75" bottom="0.75" header="0.3" footer="0.3"/>
      <pageSetup orientation="portrait" r:id="rId18"/>
    </customSheetView>
    <customSheetView guid="{A0179960-2037-454D-BA81-E315A8E16A3A}" showPageBreaks="1" hiddenRows="1">
      <selection activeCell="AI4" sqref="AI4"/>
      <pageMargins left="0.7" right="0.7" top="0.75" bottom="0.75" header="0.3" footer="0.3"/>
      <pageSetup orientation="portrait" r:id="rId19"/>
    </customSheetView>
    <customSheetView guid="{52646C22-009A-42DB-9645-9B1CCBC06272}" hiddenRows="1" topLeftCell="A14">
      <selection activeCell="AJ22" sqref="AJ22"/>
      <pageMargins left="0.7" right="0.7" top="0.75" bottom="0.75" header="0.3" footer="0.3"/>
      <pageSetup orientation="portrait" r:id="rId20"/>
    </customSheetView>
    <customSheetView guid="{CBAA7D8B-D486-41DF-B6D0-D71293163E33}" hiddenRows="1">
      <selection activeCell="AK4" sqref="AK4"/>
      <pageMargins left="0.7" right="0.7" top="0.75" bottom="0.75" header="0.3" footer="0.3"/>
      <pageSetup orientation="portrait" r:id="rId21"/>
    </customSheetView>
    <customSheetView guid="{7E427091-283A-453B-94EB-2B448709C24B}" hiddenRows="1">
      <selection activeCell="AF4" sqref="AF4"/>
      <pageMargins left="0.7" right="0.7" top="0.75" bottom="0.75" header="0.3" footer="0.3"/>
      <pageSetup orientation="portrait" r:id="rId22"/>
    </customSheetView>
    <customSheetView guid="{3D68303D-5E50-44AA-9745-976E940C48C6}" hiddenRows="1">
      <selection activeCell="V4" sqref="V4"/>
      <pageMargins left="0.7" right="0.7" top="0.75" bottom="0.75" header="0.3" footer="0.3"/>
      <pageSetup orientation="portrait" r:id="rId23"/>
    </customSheetView>
    <customSheetView guid="{9099418D-E49E-4572-BCBA-F1DE53B5DFAB}" hiddenRows="1">
      <selection activeCell="S4" sqref="S4"/>
      <pageMargins left="0.7" right="0.7" top="0.75" bottom="0.75" header="0.3" footer="0.3"/>
      <pageSetup orientation="portrait" r:id="rId24"/>
    </customSheetView>
    <customSheetView guid="{6ABFDB73-A4FC-493C-A504-1276E731333B}" hiddenRows="1">
      <selection activeCell="N4" sqref="N4"/>
      <pageMargins left="0.7" right="0.7" top="0.75" bottom="0.75" header="0.3" footer="0.3"/>
      <pageSetup orientation="portrait" r:id="rId25"/>
    </customSheetView>
  </customSheetViews>
  <phoneticPr fontId="8"/>
  <pageMargins left="0.7" right="0.7" top="0.75" bottom="0.75" header="0.3" footer="0.3"/>
  <pageSetup orientation="portrait" r:id="rId26"/>
  <drawing r:id="rId2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Resource!$B$5:$B$31</xm:f>
          </x14:formula1>
          <xm:sqref>A23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/>
  </sheetPr>
  <dimension ref="A1:BV1046384"/>
  <sheetViews>
    <sheetView tabSelected="1" zoomScale="130" zoomScaleNormal="130" workbookViewId="0">
      <pane ySplit="2" topLeftCell="A3" activePane="bottomLeft" state="frozen"/>
      <selection pane="bottomLeft" activeCell="H20" sqref="H20"/>
    </sheetView>
  </sheetViews>
  <sheetFormatPr defaultColWidth="9.140625" defaultRowHeight="15" outlineLevelRow="1"/>
  <cols>
    <col min="1" max="1" width="5.28515625" style="25" customWidth="1"/>
    <col min="2" max="2" width="6.5703125" style="25" customWidth="1"/>
    <col min="3" max="3" width="10.140625" style="25" hidden="1" customWidth="1"/>
    <col min="4" max="4" width="5.85546875" style="25" hidden="1" customWidth="1"/>
    <col min="5" max="5" width="16.28515625" style="25" customWidth="1"/>
    <col min="6" max="6" width="61.7109375" style="51" customWidth="1"/>
    <col min="7" max="7" width="11.28515625" style="25" customWidth="1"/>
    <col min="8" max="9" width="6.7109375" style="25" customWidth="1"/>
    <col min="10" max="10" width="7.85546875" style="29" customWidth="1"/>
    <col min="11" max="11" width="9.5703125" style="29" customWidth="1"/>
    <col min="12" max="13" width="6.7109375" style="26" customWidth="1"/>
    <col min="14" max="14" width="1.5703125" style="25" hidden="1" customWidth="1"/>
    <col min="15" max="15" width="11.28515625" style="26" bestFit="1" customWidth="1"/>
    <col min="16" max="16" width="5.5703125" style="30" customWidth="1"/>
    <col min="17" max="18" width="9.85546875" style="30" customWidth="1"/>
    <col min="19" max="19" width="26.42578125" style="33" hidden="1" customWidth="1"/>
    <col min="20" max="20" width="25" style="33" hidden="1" customWidth="1"/>
    <col min="21" max="21" width="6.28515625" style="33" hidden="1" customWidth="1"/>
    <col min="22" max="22" width="36.5703125" style="31" customWidth="1"/>
    <col min="23" max="32" width="2.28515625" style="14" customWidth="1"/>
    <col min="33" max="74" width="2.28515625" style="13" customWidth="1"/>
    <col min="75" max="16384" width="9.140625" style="13"/>
  </cols>
  <sheetData>
    <row r="1" spans="1:74" s="64" customFormat="1">
      <c r="A1" s="21"/>
      <c r="B1" s="21"/>
      <c r="C1" s="21"/>
      <c r="D1" s="52"/>
      <c r="E1" s="52"/>
      <c r="F1" s="21"/>
      <c r="G1" s="21"/>
      <c r="H1" s="121" t="s">
        <v>13</v>
      </c>
      <c r="I1" s="121"/>
      <c r="J1" s="121"/>
      <c r="K1" s="100"/>
      <c r="L1" s="122" t="s">
        <v>14</v>
      </c>
      <c r="M1" s="122"/>
      <c r="N1" s="122"/>
      <c r="O1" s="11"/>
      <c r="P1" s="11"/>
      <c r="Q1" s="11"/>
      <c r="R1" s="11"/>
      <c r="S1" s="11"/>
      <c r="T1" s="11"/>
      <c r="U1" s="11"/>
      <c r="V1" s="11"/>
      <c r="W1" s="66"/>
      <c r="X1" s="67"/>
      <c r="Y1" s="66"/>
      <c r="Z1" s="66"/>
      <c r="AA1" s="68"/>
      <c r="AB1" s="67"/>
      <c r="AC1" s="67"/>
      <c r="AD1" s="67"/>
      <c r="AE1" s="67"/>
      <c r="AF1" s="67"/>
      <c r="AJ1" s="69"/>
      <c r="AM1" s="70"/>
      <c r="AT1" s="69"/>
      <c r="AU1" s="70"/>
      <c r="AX1" s="69"/>
      <c r="BA1" s="70"/>
      <c r="BB1" s="70"/>
      <c r="BF1" s="69"/>
      <c r="BM1" s="69"/>
      <c r="BP1" s="70"/>
      <c r="BU1" s="69"/>
      <c r="BV1" s="70"/>
    </row>
    <row r="2" spans="1:74" s="65" customFormat="1" ht="48" customHeight="1">
      <c r="A2" s="80" t="s">
        <v>10</v>
      </c>
      <c r="B2" s="80" t="s">
        <v>11</v>
      </c>
      <c r="C2" s="80" t="s">
        <v>42</v>
      </c>
      <c r="D2" s="80" t="s">
        <v>0</v>
      </c>
      <c r="E2" s="80" t="s">
        <v>298</v>
      </c>
      <c r="F2" s="80" t="s">
        <v>38</v>
      </c>
      <c r="G2" s="80" t="s">
        <v>33</v>
      </c>
      <c r="H2" s="101" t="s">
        <v>34</v>
      </c>
      <c r="I2" s="101" t="s">
        <v>35</v>
      </c>
      <c r="J2" s="101" t="s">
        <v>286</v>
      </c>
      <c r="K2" s="80" t="s">
        <v>27</v>
      </c>
      <c r="L2" s="102" t="s">
        <v>36</v>
      </c>
      <c r="M2" s="102" t="s">
        <v>37</v>
      </c>
      <c r="N2" s="102" t="s">
        <v>15</v>
      </c>
      <c r="O2" s="80" t="s">
        <v>9</v>
      </c>
      <c r="P2" s="81" t="s">
        <v>21</v>
      </c>
      <c r="Q2" s="81" t="s">
        <v>45</v>
      </c>
      <c r="R2" s="81" t="s">
        <v>46</v>
      </c>
      <c r="S2" s="81" t="s">
        <v>43</v>
      </c>
      <c r="T2" s="80" t="s">
        <v>44</v>
      </c>
      <c r="U2" s="80" t="s">
        <v>67</v>
      </c>
      <c r="V2" s="80" t="s">
        <v>20</v>
      </c>
      <c r="W2" s="38">
        <v>43108</v>
      </c>
      <c r="X2" s="39">
        <f>W2+1</f>
        <v>43109</v>
      </c>
      <c r="Y2" s="39">
        <f t="shared" ref="Y2:BV2" si="0">X2+1</f>
        <v>43110</v>
      </c>
      <c r="Z2" s="39">
        <f t="shared" si="0"/>
        <v>43111</v>
      </c>
      <c r="AA2" s="39">
        <f t="shared" si="0"/>
        <v>43112</v>
      </c>
      <c r="AB2" s="39">
        <f t="shared" si="0"/>
        <v>43113</v>
      </c>
      <c r="AC2" s="39">
        <f t="shared" si="0"/>
        <v>43114</v>
      </c>
      <c r="AD2" s="39">
        <f t="shared" si="0"/>
        <v>43115</v>
      </c>
      <c r="AE2" s="39">
        <f t="shared" si="0"/>
        <v>43116</v>
      </c>
      <c r="AF2" s="39">
        <f t="shared" si="0"/>
        <v>43117</v>
      </c>
      <c r="AG2" s="39">
        <f t="shared" si="0"/>
        <v>43118</v>
      </c>
      <c r="AH2" s="39">
        <f t="shared" si="0"/>
        <v>43119</v>
      </c>
      <c r="AI2" s="39">
        <f t="shared" si="0"/>
        <v>43120</v>
      </c>
      <c r="AJ2" s="39">
        <f t="shared" si="0"/>
        <v>43121</v>
      </c>
      <c r="AK2" s="39">
        <f t="shared" si="0"/>
        <v>43122</v>
      </c>
      <c r="AL2" s="39">
        <f t="shared" si="0"/>
        <v>43123</v>
      </c>
      <c r="AM2" s="39">
        <f t="shared" si="0"/>
        <v>43124</v>
      </c>
      <c r="AN2" s="39">
        <f t="shared" si="0"/>
        <v>43125</v>
      </c>
      <c r="AO2" s="39">
        <f t="shared" si="0"/>
        <v>43126</v>
      </c>
      <c r="AP2" s="39">
        <f t="shared" si="0"/>
        <v>43127</v>
      </c>
      <c r="AQ2" s="39">
        <f t="shared" si="0"/>
        <v>43128</v>
      </c>
      <c r="AR2" s="39">
        <f t="shared" si="0"/>
        <v>43129</v>
      </c>
      <c r="AS2" s="39">
        <f t="shared" si="0"/>
        <v>43130</v>
      </c>
      <c r="AT2" s="39">
        <f t="shared" si="0"/>
        <v>43131</v>
      </c>
      <c r="AU2" s="39">
        <f t="shared" si="0"/>
        <v>43132</v>
      </c>
      <c r="AV2" s="39">
        <f t="shared" si="0"/>
        <v>43133</v>
      </c>
      <c r="AW2" s="39">
        <f t="shared" si="0"/>
        <v>43134</v>
      </c>
      <c r="AX2" s="39">
        <f t="shared" si="0"/>
        <v>43135</v>
      </c>
      <c r="AY2" s="39">
        <f t="shared" si="0"/>
        <v>43136</v>
      </c>
      <c r="AZ2" s="39">
        <f t="shared" si="0"/>
        <v>43137</v>
      </c>
      <c r="BA2" s="39">
        <f t="shared" si="0"/>
        <v>43138</v>
      </c>
      <c r="BB2" s="39">
        <f t="shared" si="0"/>
        <v>43139</v>
      </c>
      <c r="BC2" s="39">
        <f t="shared" si="0"/>
        <v>43140</v>
      </c>
      <c r="BD2" s="39">
        <f t="shared" si="0"/>
        <v>43141</v>
      </c>
      <c r="BE2" s="39">
        <f t="shared" si="0"/>
        <v>43142</v>
      </c>
      <c r="BF2" s="39">
        <f t="shared" si="0"/>
        <v>43143</v>
      </c>
      <c r="BG2" s="39">
        <f t="shared" si="0"/>
        <v>43144</v>
      </c>
      <c r="BH2" s="39">
        <f t="shared" si="0"/>
        <v>43145</v>
      </c>
      <c r="BI2" s="39">
        <f t="shared" si="0"/>
        <v>43146</v>
      </c>
      <c r="BJ2" s="39">
        <f t="shared" si="0"/>
        <v>43147</v>
      </c>
      <c r="BK2" s="39">
        <f t="shared" si="0"/>
        <v>43148</v>
      </c>
      <c r="BL2" s="39">
        <f t="shared" si="0"/>
        <v>43149</v>
      </c>
      <c r="BM2" s="39">
        <f t="shared" si="0"/>
        <v>43150</v>
      </c>
      <c r="BN2" s="39">
        <f t="shared" si="0"/>
        <v>43151</v>
      </c>
      <c r="BO2" s="39">
        <f t="shared" si="0"/>
        <v>43152</v>
      </c>
      <c r="BP2" s="39">
        <f t="shared" si="0"/>
        <v>43153</v>
      </c>
      <c r="BQ2" s="39">
        <f t="shared" si="0"/>
        <v>43154</v>
      </c>
      <c r="BR2" s="39">
        <f t="shared" si="0"/>
        <v>43155</v>
      </c>
      <c r="BS2" s="39">
        <f t="shared" si="0"/>
        <v>43156</v>
      </c>
      <c r="BT2" s="39">
        <f t="shared" si="0"/>
        <v>43157</v>
      </c>
      <c r="BU2" s="39">
        <f t="shared" si="0"/>
        <v>43158</v>
      </c>
      <c r="BV2" s="39">
        <f t="shared" si="0"/>
        <v>43159</v>
      </c>
    </row>
    <row r="3" spans="1:74" ht="12" customHeight="1">
      <c r="A3" s="63" t="s">
        <v>300</v>
      </c>
      <c r="B3" s="53"/>
      <c r="C3" s="110"/>
      <c r="D3" s="53"/>
      <c r="E3" s="53"/>
      <c r="F3" s="54"/>
      <c r="G3" s="106"/>
      <c r="H3" s="55"/>
      <c r="I3" s="56"/>
      <c r="J3" s="57"/>
      <c r="K3" s="56"/>
      <c r="L3" s="58"/>
      <c r="M3" s="58"/>
      <c r="N3" s="59"/>
      <c r="O3" s="60"/>
      <c r="P3" s="61"/>
      <c r="Q3" s="61"/>
      <c r="R3" s="61"/>
      <c r="S3" s="62"/>
      <c r="T3" s="78"/>
      <c r="U3" s="78"/>
      <c r="V3" s="60"/>
      <c r="W3" s="22"/>
      <c r="X3" s="23"/>
      <c r="Y3" s="23"/>
      <c r="Z3" s="23"/>
      <c r="AA3" s="23"/>
      <c r="AB3" s="23"/>
      <c r="AC3" s="23"/>
      <c r="AD3" s="23"/>
      <c r="AE3" s="23"/>
      <c r="AF3" s="23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</row>
    <row r="4" spans="1:74" ht="11.25" outlineLevel="1">
      <c r="A4" s="40">
        <v>1</v>
      </c>
      <c r="B4" s="41" t="str">
        <f t="shared" ref="B4:B11" si="1">$A$3</f>
        <v>Training</v>
      </c>
      <c r="C4" s="111"/>
      <c r="D4" s="41"/>
      <c r="E4" s="118" t="s">
        <v>299</v>
      </c>
      <c r="F4" s="113" t="s">
        <v>306</v>
      </c>
      <c r="G4" s="40" t="s">
        <v>292</v>
      </c>
      <c r="H4" s="71">
        <v>43123</v>
      </c>
      <c r="I4" s="71">
        <v>43125</v>
      </c>
      <c r="J4" s="96">
        <v>16</v>
      </c>
      <c r="K4" s="97"/>
      <c r="L4" s="71"/>
      <c r="M4" s="71"/>
      <c r="N4" s="96"/>
      <c r="O4" s="84"/>
      <c r="P4" s="85"/>
      <c r="Q4" s="104"/>
      <c r="R4" s="104"/>
      <c r="S4" s="86"/>
      <c r="T4" s="87"/>
      <c r="U4" s="105"/>
      <c r="V4" s="112"/>
      <c r="W4" s="22"/>
      <c r="X4" s="23"/>
      <c r="Y4" s="23"/>
      <c r="Z4" s="23"/>
      <c r="AA4" s="23"/>
      <c r="AB4" s="23"/>
      <c r="AC4" s="23"/>
      <c r="AD4" s="23"/>
      <c r="AE4" s="23"/>
      <c r="AF4" s="23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11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</row>
    <row r="5" spans="1:74" ht="11.25" outlineLevel="1">
      <c r="A5" s="40">
        <v>2</v>
      </c>
      <c r="B5" s="41" t="str">
        <f t="shared" si="1"/>
        <v>Training</v>
      </c>
      <c r="C5" s="111"/>
      <c r="D5" s="41"/>
      <c r="E5" s="119" t="s">
        <v>299</v>
      </c>
      <c r="F5" s="113" t="s">
        <v>307</v>
      </c>
      <c r="G5" s="40" t="s">
        <v>293</v>
      </c>
      <c r="H5" s="71">
        <v>43123</v>
      </c>
      <c r="I5" s="71">
        <v>43125</v>
      </c>
      <c r="J5" s="96">
        <v>16</v>
      </c>
      <c r="K5" s="97"/>
      <c r="L5" s="71"/>
      <c r="M5" s="71"/>
      <c r="N5" s="96"/>
      <c r="O5" s="84"/>
      <c r="P5" s="85"/>
      <c r="Q5" s="104"/>
      <c r="R5" s="104"/>
      <c r="S5" s="86"/>
      <c r="T5" s="87"/>
      <c r="U5" s="105"/>
      <c r="V5" s="112"/>
      <c r="W5" s="22"/>
      <c r="X5" s="23"/>
      <c r="Y5" s="23"/>
      <c r="Z5" s="23"/>
      <c r="AA5" s="23"/>
      <c r="AB5" s="23"/>
      <c r="AC5" s="23"/>
      <c r="AD5" s="23"/>
      <c r="AE5" s="23"/>
      <c r="AF5" s="23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11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</row>
    <row r="6" spans="1:74" ht="11.25" outlineLevel="1">
      <c r="A6" s="40">
        <v>2</v>
      </c>
      <c r="B6" s="41" t="str">
        <f t="shared" si="1"/>
        <v>Training</v>
      </c>
      <c r="C6" s="111"/>
      <c r="D6" s="41"/>
      <c r="E6" s="119" t="s">
        <v>299</v>
      </c>
      <c r="F6" s="113" t="s">
        <v>307</v>
      </c>
      <c r="G6" s="40" t="s">
        <v>296</v>
      </c>
      <c r="H6" s="71">
        <v>43123</v>
      </c>
      <c r="I6" s="71">
        <v>43125</v>
      </c>
      <c r="J6" s="96">
        <v>16</v>
      </c>
      <c r="K6" s="97"/>
      <c r="L6" s="71"/>
      <c r="M6" s="71"/>
      <c r="N6" s="96"/>
      <c r="O6" s="84"/>
      <c r="P6" s="85"/>
      <c r="Q6" s="104"/>
      <c r="R6" s="104"/>
      <c r="S6" s="86"/>
      <c r="T6" s="87"/>
      <c r="U6" s="105"/>
      <c r="V6" s="11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11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</row>
    <row r="7" spans="1:74" ht="11.25" outlineLevel="1">
      <c r="A7" s="40">
        <v>3</v>
      </c>
      <c r="B7" s="41" t="str">
        <f t="shared" si="1"/>
        <v>Training</v>
      </c>
      <c r="C7" s="111"/>
      <c r="D7" s="41"/>
      <c r="E7" s="119" t="s">
        <v>299</v>
      </c>
      <c r="F7" s="113" t="s">
        <v>308</v>
      </c>
      <c r="G7" s="40" t="s">
        <v>294</v>
      </c>
      <c r="H7" s="71">
        <v>43123</v>
      </c>
      <c r="I7" s="71">
        <v>43125</v>
      </c>
      <c r="J7" s="96">
        <v>16</v>
      </c>
      <c r="K7" s="97"/>
      <c r="L7" s="71"/>
      <c r="M7" s="71"/>
      <c r="N7" s="96"/>
      <c r="O7" s="84"/>
      <c r="P7" s="85"/>
      <c r="Q7" s="104"/>
      <c r="R7" s="104"/>
      <c r="S7" s="86"/>
      <c r="T7" s="87"/>
      <c r="U7" s="105"/>
      <c r="V7" s="112"/>
      <c r="W7" s="22"/>
      <c r="X7" s="23"/>
      <c r="Y7" s="23"/>
      <c r="Z7" s="23"/>
      <c r="AA7" s="23"/>
      <c r="AB7" s="23"/>
      <c r="AC7" s="23"/>
      <c r="AD7" s="23"/>
      <c r="AE7" s="23"/>
      <c r="AF7" s="23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11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</row>
    <row r="8" spans="1:74" ht="11.25" outlineLevel="1">
      <c r="A8" s="40">
        <v>3</v>
      </c>
      <c r="B8" s="41" t="str">
        <f t="shared" si="1"/>
        <v>Training</v>
      </c>
      <c r="C8" s="111"/>
      <c r="D8" s="41"/>
      <c r="E8" s="119" t="s">
        <v>299</v>
      </c>
      <c r="F8" s="113" t="s">
        <v>308</v>
      </c>
      <c r="G8" s="40" t="s">
        <v>321</v>
      </c>
      <c r="H8" s="71">
        <v>43123</v>
      </c>
      <c r="I8" s="71">
        <v>43125</v>
      </c>
      <c r="J8" s="96">
        <v>16</v>
      </c>
      <c r="K8" s="97"/>
      <c r="L8" s="71"/>
      <c r="M8" s="71"/>
      <c r="N8" s="96"/>
      <c r="O8" s="84"/>
      <c r="P8" s="85"/>
      <c r="Q8" s="104"/>
      <c r="R8" s="104"/>
      <c r="S8" s="86"/>
      <c r="T8" s="87"/>
      <c r="U8" s="105"/>
      <c r="V8" s="112"/>
      <c r="W8" s="22"/>
      <c r="X8" s="23"/>
      <c r="Y8" s="23"/>
      <c r="Z8" s="23"/>
      <c r="AA8" s="23"/>
      <c r="AB8" s="23"/>
      <c r="AC8" s="23"/>
      <c r="AD8" s="23"/>
      <c r="AE8" s="23"/>
      <c r="AF8" s="23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11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</row>
    <row r="9" spans="1:74" ht="11.25" outlineLevel="1">
      <c r="A9" s="40">
        <v>4</v>
      </c>
      <c r="B9" s="41" t="str">
        <f t="shared" si="1"/>
        <v>Training</v>
      </c>
      <c r="C9" s="111"/>
      <c r="D9" s="41"/>
      <c r="E9" s="119" t="s">
        <v>299</v>
      </c>
      <c r="F9" s="113" t="s">
        <v>309</v>
      </c>
      <c r="G9" s="40" t="s">
        <v>295</v>
      </c>
      <c r="H9" s="71">
        <v>43123</v>
      </c>
      <c r="I9" s="71">
        <v>43125</v>
      </c>
      <c r="J9" s="96">
        <v>16</v>
      </c>
      <c r="K9" s="97"/>
      <c r="L9" s="71"/>
      <c r="M9" s="71"/>
      <c r="N9" s="96"/>
      <c r="O9" s="84"/>
      <c r="P9" s="85"/>
      <c r="Q9" s="104"/>
      <c r="R9" s="104"/>
      <c r="S9" s="86"/>
      <c r="T9" s="87"/>
      <c r="U9" s="105"/>
      <c r="V9" s="112"/>
      <c r="W9" s="22"/>
      <c r="X9" s="23"/>
      <c r="Y9" s="23"/>
      <c r="Z9" s="23"/>
      <c r="AA9" s="23"/>
      <c r="AB9" s="23"/>
      <c r="AC9" s="23"/>
      <c r="AD9" s="23"/>
      <c r="AE9" s="23"/>
      <c r="AF9" s="23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11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</row>
    <row r="10" spans="1:74" ht="11.25" outlineLevel="1">
      <c r="A10" s="40">
        <v>5</v>
      </c>
      <c r="B10" s="41" t="str">
        <f t="shared" si="1"/>
        <v>Training</v>
      </c>
      <c r="C10" s="111"/>
      <c r="D10" s="41"/>
      <c r="E10" s="119" t="s">
        <v>302</v>
      </c>
      <c r="F10" s="113" t="s">
        <v>304</v>
      </c>
      <c r="G10" s="40" t="s">
        <v>303</v>
      </c>
      <c r="H10" s="71">
        <v>43126</v>
      </c>
      <c r="I10" s="71">
        <v>43126</v>
      </c>
      <c r="J10" s="96">
        <v>6</v>
      </c>
      <c r="K10" s="97"/>
      <c r="L10" s="71"/>
      <c r="M10" s="71"/>
      <c r="N10" s="96"/>
      <c r="O10" s="84"/>
      <c r="P10" s="85"/>
      <c r="Q10" s="104"/>
      <c r="R10" s="104"/>
      <c r="S10" s="86"/>
      <c r="T10" s="87"/>
      <c r="U10" s="105"/>
      <c r="V10" s="112"/>
      <c r="W10" s="22"/>
      <c r="X10" s="23"/>
      <c r="Y10" s="23"/>
      <c r="Z10" s="23"/>
      <c r="AA10" s="23"/>
      <c r="AB10" s="23"/>
      <c r="AC10" s="23"/>
      <c r="AD10" s="23"/>
      <c r="AE10" s="23"/>
      <c r="AF10" s="23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11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</row>
    <row r="11" spans="1:74" ht="11.25" outlineLevel="1">
      <c r="A11" s="40">
        <v>6</v>
      </c>
      <c r="B11" s="41" t="str">
        <f t="shared" si="1"/>
        <v>Training</v>
      </c>
      <c r="C11" s="111"/>
      <c r="D11" s="41"/>
      <c r="E11" s="119" t="s">
        <v>302</v>
      </c>
      <c r="F11" s="113" t="s">
        <v>305</v>
      </c>
      <c r="G11" s="40" t="s">
        <v>303</v>
      </c>
      <c r="H11" s="71">
        <v>43126</v>
      </c>
      <c r="I11" s="71">
        <v>43126</v>
      </c>
      <c r="J11" s="96">
        <v>4</v>
      </c>
      <c r="K11" s="97"/>
      <c r="L11" s="71"/>
      <c r="M11" s="71"/>
      <c r="N11" s="96"/>
      <c r="O11" s="84"/>
      <c r="P11" s="85"/>
      <c r="Q11" s="104"/>
      <c r="R11" s="104"/>
      <c r="S11" s="86"/>
      <c r="T11" s="87"/>
      <c r="U11" s="105"/>
      <c r="V11" s="112"/>
      <c r="W11" s="22"/>
      <c r="X11" s="23"/>
      <c r="Y11" s="23"/>
      <c r="Z11" s="23"/>
      <c r="AA11" s="23"/>
      <c r="AB11" s="23"/>
      <c r="AC11" s="23"/>
      <c r="AD11" s="23"/>
      <c r="AE11" s="23"/>
      <c r="AF11" s="23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11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</row>
    <row r="12" spans="1:74" ht="11.25" outlineLevel="1">
      <c r="A12" s="40">
        <v>7</v>
      </c>
      <c r="B12" s="41" t="s">
        <v>310</v>
      </c>
      <c r="C12" s="111"/>
      <c r="D12" s="41"/>
      <c r="E12" s="119"/>
      <c r="F12" s="113" t="s">
        <v>312</v>
      </c>
      <c r="G12" s="40" t="s">
        <v>292</v>
      </c>
      <c r="H12" s="71">
        <v>43129</v>
      </c>
      <c r="I12" s="71">
        <v>43130</v>
      </c>
      <c r="J12" s="96">
        <v>16</v>
      </c>
      <c r="K12" s="97"/>
      <c r="L12" s="71"/>
      <c r="M12" s="71"/>
      <c r="N12" s="96"/>
      <c r="O12" s="84"/>
      <c r="P12" s="85"/>
      <c r="Q12" s="104"/>
      <c r="R12" s="104"/>
      <c r="S12" s="86"/>
      <c r="T12" s="87"/>
      <c r="U12" s="105"/>
      <c r="V12" s="112"/>
      <c r="W12" s="22"/>
      <c r="X12" s="23"/>
      <c r="Y12" s="23"/>
      <c r="Z12" s="23"/>
      <c r="AA12" s="23"/>
      <c r="AB12" s="23"/>
      <c r="AC12" s="23"/>
      <c r="AD12" s="23"/>
      <c r="AE12" s="23"/>
      <c r="AF12" s="23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11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</row>
    <row r="13" spans="1:74" ht="11.25" outlineLevel="1">
      <c r="A13" s="40">
        <v>8</v>
      </c>
      <c r="B13" s="41" t="s">
        <v>310</v>
      </c>
      <c r="C13" s="111"/>
      <c r="D13" s="41"/>
      <c r="E13" s="119"/>
      <c r="F13" s="113" t="s">
        <v>313</v>
      </c>
      <c r="G13" s="40" t="s">
        <v>293</v>
      </c>
      <c r="H13" s="71">
        <v>43129</v>
      </c>
      <c r="I13" s="71">
        <v>43130</v>
      </c>
      <c r="J13" s="96">
        <v>16</v>
      </c>
      <c r="K13" s="97"/>
      <c r="L13" s="71"/>
      <c r="M13" s="71"/>
      <c r="N13" s="96"/>
      <c r="O13" s="84"/>
      <c r="P13" s="85"/>
      <c r="Q13" s="104"/>
      <c r="R13" s="104"/>
      <c r="S13" s="86"/>
      <c r="T13" s="87"/>
      <c r="U13" s="105"/>
      <c r="V13" s="112"/>
      <c r="W13" s="22"/>
      <c r="X13" s="23"/>
      <c r="Y13" s="23"/>
      <c r="Z13" s="23"/>
      <c r="AA13" s="23"/>
      <c r="AB13" s="23"/>
      <c r="AC13" s="23"/>
      <c r="AD13" s="23"/>
      <c r="AE13" s="23"/>
      <c r="AF13" s="23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11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</row>
    <row r="14" spans="1:74" ht="11.25" outlineLevel="1">
      <c r="A14" s="40">
        <v>8</v>
      </c>
      <c r="B14" s="41" t="s">
        <v>310</v>
      </c>
      <c r="C14" s="111"/>
      <c r="D14" s="41"/>
      <c r="E14" s="119"/>
      <c r="F14" s="113" t="s">
        <v>316</v>
      </c>
      <c r="G14" s="40" t="s">
        <v>294</v>
      </c>
      <c r="H14" s="71">
        <v>43129</v>
      </c>
      <c r="I14" s="71">
        <v>43130</v>
      </c>
      <c r="J14" s="96">
        <v>16</v>
      </c>
      <c r="K14" s="97"/>
      <c r="L14" s="71"/>
      <c r="M14" s="71"/>
      <c r="N14" s="96"/>
      <c r="O14" s="84"/>
      <c r="P14" s="85"/>
      <c r="Q14" s="104"/>
      <c r="R14" s="104"/>
      <c r="S14" s="86"/>
      <c r="T14" s="87"/>
      <c r="U14" s="105"/>
      <c r="V14" s="112"/>
      <c r="W14" s="22"/>
      <c r="X14" s="23"/>
      <c r="Y14" s="23"/>
      <c r="Z14" s="23"/>
      <c r="AA14" s="23"/>
      <c r="AB14" s="23"/>
      <c r="AC14" s="23"/>
      <c r="AD14" s="23"/>
      <c r="AE14" s="23"/>
      <c r="AF14" s="23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11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</row>
    <row r="15" spans="1:74" ht="11.25" outlineLevel="1">
      <c r="A15" s="40">
        <v>8</v>
      </c>
      <c r="B15" s="41" t="s">
        <v>310</v>
      </c>
      <c r="C15" s="111"/>
      <c r="D15" s="41"/>
      <c r="E15" s="119"/>
      <c r="F15" s="113" t="s">
        <v>317</v>
      </c>
      <c r="G15" s="40" t="s">
        <v>321</v>
      </c>
      <c r="H15" s="71">
        <v>43129</v>
      </c>
      <c r="I15" s="71">
        <v>43130</v>
      </c>
      <c r="J15" s="96">
        <v>16</v>
      </c>
      <c r="K15" s="97"/>
      <c r="L15" s="71"/>
      <c r="M15" s="71"/>
      <c r="N15" s="96"/>
      <c r="O15" s="84"/>
      <c r="P15" s="85"/>
      <c r="Q15" s="104"/>
      <c r="R15" s="104"/>
      <c r="S15" s="86"/>
      <c r="T15" s="87"/>
      <c r="U15" s="105"/>
      <c r="V15" s="112"/>
      <c r="W15" s="22"/>
      <c r="X15" s="23"/>
      <c r="Y15" s="23"/>
      <c r="Z15" s="23"/>
      <c r="AA15" s="23"/>
      <c r="AB15" s="23"/>
      <c r="AC15" s="23"/>
      <c r="AD15" s="23"/>
      <c r="AE15" s="23"/>
      <c r="AF15" s="23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11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</row>
    <row r="16" spans="1:74" ht="11.25" outlineLevel="1">
      <c r="A16" s="40">
        <v>8</v>
      </c>
      <c r="B16" s="41" t="s">
        <v>310</v>
      </c>
      <c r="C16" s="111"/>
      <c r="D16" s="41"/>
      <c r="E16" s="119"/>
      <c r="F16" s="113" t="s">
        <v>318</v>
      </c>
      <c r="G16" s="40" t="s">
        <v>295</v>
      </c>
      <c r="H16" s="71">
        <v>43129</v>
      </c>
      <c r="I16" s="71">
        <v>43130</v>
      </c>
      <c r="J16" s="96">
        <v>16</v>
      </c>
      <c r="K16" s="97"/>
      <c r="L16" s="71"/>
      <c r="M16" s="71"/>
      <c r="N16" s="96"/>
      <c r="O16" s="84"/>
      <c r="P16" s="85"/>
      <c r="Q16" s="104"/>
      <c r="R16" s="104"/>
      <c r="S16" s="86"/>
      <c r="T16" s="87"/>
      <c r="U16" s="105"/>
      <c r="V16" s="112"/>
      <c r="W16" s="22"/>
      <c r="X16" s="23"/>
      <c r="Y16" s="23"/>
      <c r="Z16" s="23"/>
      <c r="AA16" s="23"/>
      <c r="AB16" s="23"/>
      <c r="AC16" s="23"/>
      <c r="AD16" s="23"/>
      <c r="AE16" s="23"/>
      <c r="AF16" s="23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11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</row>
    <row r="17" spans="1:74" ht="11.25" outlineLevel="1">
      <c r="A17" s="40">
        <v>8</v>
      </c>
      <c r="B17" s="41" t="s">
        <v>310</v>
      </c>
      <c r="C17" s="111"/>
      <c r="D17" s="41"/>
      <c r="E17" s="119"/>
      <c r="F17" s="113" t="s">
        <v>319</v>
      </c>
      <c r="G17" s="40" t="s">
        <v>292</v>
      </c>
      <c r="H17" s="71">
        <v>43101</v>
      </c>
      <c r="I17" s="71">
        <v>43133</v>
      </c>
      <c r="J17" s="96">
        <v>16</v>
      </c>
      <c r="K17" s="97"/>
      <c r="L17" s="71"/>
      <c r="M17" s="71"/>
      <c r="N17" s="96"/>
      <c r="O17" s="84"/>
      <c r="P17" s="85"/>
      <c r="Q17" s="104"/>
      <c r="R17" s="104"/>
      <c r="S17" s="86"/>
      <c r="T17" s="87"/>
      <c r="U17" s="105"/>
      <c r="V17" s="112"/>
      <c r="W17" s="22"/>
      <c r="X17" s="23"/>
      <c r="Y17" s="23"/>
      <c r="Z17" s="23"/>
      <c r="AA17" s="23"/>
      <c r="AB17" s="23"/>
      <c r="AC17" s="23"/>
      <c r="AD17" s="23"/>
      <c r="AE17" s="23"/>
      <c r="AF17" s="23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11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</row>
    <row r="18" spans="1:74" ht="11.25" outlineLevel="1">
      <c r="A18" s="40">
        <v>8</v>
      </c>
      <c r="B18" s="41" t="s">
        <v>310</v>
      </c>
      <c r="C18" s="111"/>
      <c r="D18" s="41"/>
      <c r="E18" s="119"/>
      <c r="F18" s="113" t="s">
        <v>320</v>
      </c>
      <c r="G18" s="40" t="s">
        <v>293</v>
      </c>
      <c r="H18" s="71">
        <v>43101</v>
      </c>
      <c r="I18" s="71">
        <v>43133</v>
      </c>
      <c r="J18" s="96">
        <v>16</v>
      </c>
      <c r="K18" s="97"/>
      <c r="L18" s="71"/>
      <c r="M18" s="71"/>
      <c r="N18" s="96"/>
      <c r="O18" s="84"/>
      <c r="P18" s="85"/>
      <c r="Q18" s="104"/>
      <c r="R18" s="104"/>
      <c r="S18" s="86"/>
      <c r="T18" s="87"/>
      <c r="U18" s="105"/>
      <c r="V18" s="112"/>
      <c r="W18" s="22"/>
      <c r="X18" s="23"/>
      <c r="Y18" s="23"/>
      <c r="Z18" s="23"/>
      <c r="AA18" s="23"/>
      <c r="AB18" s="23"/>
      <c r="AC18" s="23"/>
      <c r="AD18" s="23"/>
      <c r="AE18" s="23"/>
      <c r="AF18" s="23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11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</row>
    <row r="19" spans="1:74" ht="11.25" outlineLevel="1">
      <c r="A19" s="40">
        <v>8</v>
      </c>
      <c r="B19" s="41" t="s">
        <v>310</v>
      </c>
      <c r="C19" s="111"/>
      <c r="D19" s="41"/>
      <c r="E19" s="119"/>
      <c r="F19" s="113" t="s">
        <v>322</v>
      </c>
      <c r="G19" s="40" t="s">
        <v>294</v>
      </c>
      <c r="H19" s="71">
        <v>43101</v>
      </c>
      <c r="I19" s="71">
        <v>43133</v>
      </c>
      <c r="J19" s="96">
        <v>16</v>
      </c>
      <c r="K19" s="97"/>
      <c r="L19" s="71"/>
      <c r="M19" s="71"/>
      <c r="N19" s="96"/>
      <c r="O19" s="84"/>
      <c r="P19" s="85"/>
      <c r="Q19" s="104"/>
      <c r="R19" s="104"/>
      <c r="S19" s="86"/>
      <c r="T19" s="87"/>
      <c r="U19" s="105"/>
      <c r="V19" s="112"/>
      <c r="W19" s="22"/>
      <c r="X19" s="23"/>
      <c r="Y19" s="23"/>
      <c r="Z19" s="23"/>
      <c r="AA19" s="23"/>
      <c r="AB19" s="23"/>
      <c r="AC19" s="23"/>
      <c r="AD19" s="23"/>
      <c r="AE19" s="23"/>
      <c r="AF19" s="23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11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</row>
    <row r="20" spans="1:74" ht="11.25" outlineLevel="1">
      <c r="A20" s="40">
        <v>8</v>
      </c>
      <c r="B20" s="41" t="s">
        <v>310</v>
      </c>
      <c r="C20" s="111"/>
      <c r="D20" s="41"/>
      <c r="E20" s="119"/>
      <c r="F20" s="113" t="s">
        <v>315</v>
      </c>
      <c r="G20" s="40" t="s">
        <v>296</v>
      </c>
      <c r="H20" s="71">
        <v>43129</v>
      </c>
      <c r="I20" s="71">
        <v>43130</v>
      </c>
      <c r="J20" s="96">
        <v>16</v>
      </c>
      <c r="K20" s="97"/>
      <c r="L20" s="71"/>
      <c r="M20" s="71"/>
      <c r="N20" s="96"/>
      <c r="O20" s="84"/>
      <c r="P20" s="85"/>
      <c r="Q20" s="104"/>
      <c r="R20" s="104"/>
      <c r="S20" s="86"/>
      <c r="T20" s="87"/>
      <c r="U20" s="105"/>
      <c r="V20" s="112"/>
      <c r="W20" s="22"/>
      <c r="X20" s="23"/>
      <c r="Y20" s="23"/>
      <c r="Z20" s="23"/>
      <c r="AA20" s="23"/>
      <c r="AB20" s="23"/>
      <c r="AC20" s="23"/>
      <c r="AD20" s="23"/>
      <c r="AE20" s="23"/>
      <c r="AF20" s="23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11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</row>
    <row r="21" spans="1:74" ht="11.25" outlineLevel="1">
      <c r="A21" s="40">
        <v>8</v>
      </c>
      <c r="B21" s="41" t="s">
        <v>310</v>
      </c>
      <c r="C21" s="111"/>
      <c r="D21" s="41"/>
      <c r="E21" s="119"/>
      <c r="F21" s="113" t="s">
        <v>314</v>
      </c>
      <c r="G21" s="40" t="s">
        <v>296</v>
      </c>
      <c r="H21" s="71">
        <v>43101</v>
      </c>
      <c r="I21" s="71">
        <v>43133</v>
      </c>
      <c r="J21" s="96">
        <v>16</v>
      </c>
      <c r="K21" s="97"/>
      <c r="L21" s="71"/>
      <c r="M21" s="71"/>
      <c r="N21" s="96"/>
      <c r="O21" s="84"/>
      <c r="P21" s="85"/>
      <c r="Q21" s="104"/>
      <c r="R21" s="104"/>
      <c r="S21" s="86"/>
      <c r="T21" s="87"/>
      <c r="U21" s="105"/>
      <c r="V21" s="112"/>
      <c r="W21" s="22"/>
      <c r="X21" s="23"/>
      <c r="Y21" s="23"/>
      <c r="Z21" s="23"/>
      <c r="AA21" s="23"/>
      <c r="AB21" s="23"/>
      <c r="AC21" s="23"/>
      <c r="AD21" s="23"/>
      <c r="AE21" s="23"/>
      <c r="AF21" s="23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11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</row>
    <row r="22" spans="1:74" ht="11.25" outlineLevel="1">
      <c r="A22" s="40">
        <v>9</v>
      </c>
      <c r="B22" s="41"/>
      <c r="C22" s="111"/>
      <c r="D22" s="41"/>
      <c r="E22" s="119"/>
      <c r="F22" s="113" t="s">
        <v>311</v>
      </c>
      <c r="G22" s="40" t="s">
        <v>32</v>
      </c>
      <c r="H22" s="71">
        <v>43123</v>
      </c>
      <c r="I22" s="71">
        <v>43133</v>
      </c>
      <c r="J22" s="96"/>
      <c r="K22" s="97"/>
      <c r="L22" s="71"/>
      <c r="M22" s="71"/>
      <c r="N22" s="96"/>
      <c r="O22" s="84"/>
      <c r="P22" s="85"/>
      <c r="Q22" s="104"/>
      <c r="R22" s="104"/>
      <c r="S22" s="86"/>
      <c r="T22" s="87"/>
      <c r="U22" s="105"/>
      <c r="V22" s="112"/>
      <c r="W22" s="22"/>
      <c r="X22" s="23"/>
      <c r="Y22" s="23"/>
      <c r="Z22" s="23"/>
      <c r="AA22" s="23"/>
      <c r="AB22" s="23"/>
      <c r="AC22" s="23"/>
      <c r="AD22" s="23"/>
      <c r="AE22" s="23"/>
      <c r="AF22" s="23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11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</row>
    <row r="23" spans="1:74" ht="11.25" outlineLevel="1">
      <c r="A23" s="40">
        <v>10</v>
      </c>
      <c r="B23" s="41"/>
      <c r="C23" s="111"/>
      <c r="D23" s="41"/>
      <c r="E23" s="119"/>
      <c r="F23" s="113"/>
      <c r="G23" s="40"/>
      <c r="H23" s="71"/>
      <c r="I23" s="71"/>
      <c r="J23" s="96"/>
      <c r="K23" s="97"/>
      <c r="L23" s="71"/>
      <c r="M23" s="71"/>
      <c r="N23" s="96"/>
      <c r="O23" s="84"/>
      <c r="P23" s="85"/>
      <c r="Q23" s="104"/>
      <c r="R23" s="104"/>
      <c r="S23" s="86"/>
      <c r="T23" s="87"/>
      <c r="U23" s="105"/>
      <c r="V23" s="112"/>
      <c r="W23" s="22"/>
      <c r="X23" s="23"/>
      <c r="Y23" s="23"/>
      <c r="Z23" s="23"/>
      <c r="AA23" s="23"/>
      <c r="AB23" s="23"/>
      <c r="AC23" s="23"/>
      <c r="AD23" s="23"/>
      <c r="AE23" s="23"/>
      <c r="AF23" s="23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11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</row>
    <row r="24" spans="1:74" ht="11.25" outlineLevel="1">
      <c r="A24" s="40">
        <v>11</v>
      </c>
      <c r="B24" s="41"/>
      <c r="C24" s="111"/>
      <c r="D24" s="41"/>
      <c r="E24" s="119"/>
      <c r="F24" s="113"/>
      <c r="G24" s="40"/>
      <c r="H24" s="71"/>
      <c r="I24" s="71"/>
      <c r="J24" s="96"/>
      <c r="K24" s="97"/>
      <c r="L24" s="71"/>
      <c r="M24" s="71"/>
      <c r="N24" s="96"/>
      <c r="O24" s="84"/>
      <c r="P24" s="85"/>
      <c r="Q24" s="104"/>
      <c r="R24" s="104"/>
      <c r="S24" s="86"/>
      <c r="T24" s="87"/>
      <c r="U24" s="105"/>
      <c r="V24" s="112"/>
      <c r="W24" s="22"/>
      <c r="X24" s="23"/>
      <c r="Y24" s="23"/>
      <c r="Z24" s="23"/>
      <c r="AA24" s="23"/>
      <c r="AB24" s="23"/>
      <c r="AC24" s="23"/>
      <c r="AD24" s="23"/>
      <c r="AE24" s="23"/>
      <c r="AF24" s="23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11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</row>
    <row r="25" spans="1:74" ht="11.25" outlineLevel="1">
      <c r="A25" s="40">
        <v>12</v>
      </c>
      <c r="B25" s="41"/>
      <c r="C25" s="111"/>
      <c r="D25" s="41"/>
      <c r="E25" s="119"/>
      <c r="F25" s="113"/>
      <c r="G25" s="40"/>
      <c r="H25" s="71"/>
      <c r="I25" s="71"/>
      <c r="J25" s="96"/>
      <c r="K25" s="97"/>
      <c r="L25" s="71"/>
      <c r="M25" s="71"/>
      <c r="N25" s="96"/>
      <c r="O25" s="84"/>
      <c r="P25" s="85"/>
      <c r="Q25" s="104"/>
      <c r="R25" s="104"/>
      <c r="S25" s="86"/>
      <c r="T25" s="87"/>
      <c r="U25" s="105"/>
      <c r="V25" s="112"/>
      <c r="W25" s="22"/>
      <c r="X25" s="23"/>
      <c r="Y25" s="23"/>
      <c r="Z25" s="23"/>
      <c r="AA25" s="23"/>
      <c r="AB25" s="23"/>
      <c r="AC25" s="23"/>
      <c r="AD25" s="23"/>
      <c r="AE25" s="23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11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</row>
    <row r="26" spans="1:74" ht="11.25" outlineLevel="1">
      <c r="A26" s="40">
        <v>13</v>
      </c>
      <c r="B26" s="41"/>
      <c r="C26" s="111"/>
      <c r="D26" s="41"/>
      <c r="E26" s="119"/>
      <c r="F26" s="113"/>
      <c r="G26" s="40"/>
      <c r="H26" s="71"/>
      <c r="I26" s="71"/>
      <c r="J26" s="96"/>
      <c r="K26" s="97"/>
      <c r="L26" s="71"/>
      <c r="M26" s="71"/>
      <c r="N26" s="96"/>
      <c r="O26" s="84"/>
      <c r="P26" s="85"/>
      <c r="Q26" s="104"/>
      <c r="R26" s="104"/>
      <c r="S26" s="86"/>
      <c r="T26" s="87"/>
      <c r="U26" s="105"/>
      <c r="V26" s="112"/>
      <c r="W26" s="22"/>
      <c r="X26" s="23"/>
      <c r="Y26" s="23"/>
      <c r="Z26" s="23"/>
      <c r="AA26" s="23"/>
      <c r="AB26" s="23"/>
      <c r="AC26" s="23"/>
      <c r="AD26" s="23"/>
      <c r="AE26" s="23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11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</row>
    <row r="27" spans="1:74" ht="11.25" outlineLevel="1">
      <c r="A27" s="40">
        <v>14</v>
      </c>
      <c r="B27" s="41"/>
      <c r="C27" s="111"/>
      <c r="D27" s="41"/>
      <c r="E27" s="119"/>
      <c r="F27" s="113"/>
      <c r="G27" s="40"/>
      <c r="H27" s="71"/>
      <c r="I27" s="71"/>
      <c r="J27" s="96"/>
      <c r="K27" s="97"/>
      <c r="L27" s="71"/>
      <c r="M27" s="71"/>
      <c r="N27" s="96"/>
      <c r="O27" s="84"/>
      <c r="P27" s="85"/>
      <c r="Q27" s="104"/>
      <c r="R27" s="104"/>
      <c r="S27" s="86"/>
      <c r="T27" s="87"/>
      <c r="U27" s="105"/>
      <c r="V27" s="112"/>
      <c r="W27" s="22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11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</row>
    <row r="28" spans="1:74" ht="11.25" outlineLevel="1">
      <c r="A28" s="40">
        <v>15</v>
      </c>
      <c r="B28" s="41"/>
      <c r="C28" s="111"/>
      <c r="D28" s="41"/>
      <c r="E28" s="119"/>
      <c r="F28" s="113"/>
      <c r="G28" s="40"/>
      <c r="H28" s="71"/>
      <c r="I28" s="71"/>
      <c r="J28" s="96"/>
      <c r="K28" s="97"/>
      <c r="L28" s="71"/>
      <c r="M28" s="71"/>
      <c r="N28" s="96"/>
      <c r="O28" s="84"/>
      <c r="P28" s="85"/>
      <c r="Q28" s="104"/>
      <c r="R28" s="104"/>
      <c r="S28" s="86"/>
      <c r="T28" s="87"/>
      <c r="U28" s="105"/>
      <c r="V28" s="112"/>
      <c r="W28" s="22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11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</row>
    <row r="29" spans="1:74" ht="11.25" outlineLevel="1">
      <c r="A29" s="40">
        <v>16</v>
      </c>
      <c r="B29" s="41"/>
      <c r="C29" s="111"/>
      <c r="D29" s="41"/>
      <c r="E29" s="119"/>
      <c r="F29" s="113"/>
      <c r="G29" s="40"/>
      <c r="H29" s="71"/>
      <c r="I29" s="71"/>
      <c r="J29" s="96"/>
      <c r="K29" s="97"/>
      <c r="L29" s="71"/>
      <c r="M29" s="71"/>
      <c r="N29" s="96"/>
      <c r="O29" s="84"/>
      <c r="P29" s="85"/>
      <c r="Q29" s="104"/>
      <c r="R29" s="104"/>
      <c r="S29" s="86"/>
      <c r="T29" s="87"/>
      <c r="U29" s="105"/>
      <c r="V29" s="112"/>
      <c r="W29" s="22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11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</row>
    <row r="30" spans="1:74" ht="11.25" outlineLevel="1">
      <c r="A30" s="40">
        <v>17</v>
      </c>
      <c r="B30" s="41"/>
      <c r="C30" s="111"/>
      <c r="D30" s="41"/>
      <c r="E30" s="119"/>
      <c r="F30" s="113"/>
      <c r="G30" s="40"/>
      <c r="H30" s="71"/>
      <c r="I30" s="71"/>
      <c r="J30" s="96"/>
      <c r="K30" s="97"/>
      <c r="L30" s="71"/>
      <c r="M30" s="71"/>
      <c r="N30" s="96"/>
      <c r="O30" s="84"/>
      <c r="P30" s="85"/>
      <c r="Q30" s="104"/>
      <c r="R30" s="104"/>
      <c r="S30" s="86"/>
      <c r="T30" s="87"/>
      <c r="U30" s="105"/>
      <c r="V30" s="112"/>
      <c r="W30" s="22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11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</row>
    <row r="31" spans="1:74" ht="11.25" outlineLevel="1">
      <c r="A31" s="40">
        <v>18</v>
      </c>
      <c r="B31" s="41"/>
      <c r="C31" s="111"/>
      <c r="D31" s="41"/>
      <c r="E31" s="119"/>
      <c r="F31" s="113"/>
      <c r="G31" s="40"/>
      <c r="H31" s="71"/>
      <c r="I31" s="71"/>
      <c r="J31" s="96"/>
      <c r="K31" s="97"/>
      <c r="L31" s="71"/>
      <c r="M31" s="71"/>
      <c r="N31" s="96"/>
      <c r="O31" s="84"/>
      <c r="P31" s="85"/>
      <c r="Q31" s="104"/>
      <c r="R31" s="104"/>
      <c r="S31" s="86"/>
      <c r="T31" s="87"/>
      <c r="U31" s="105"/>
      <c r="V31" s="112"/>
      <c r="W31" s="22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11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</row>
    <row r="32" spans="1:74" ht="11.25" outlineLevel="1">
      <c r="A32" s="40">
        <v>19</v>
      </c>
      <c r="B32" s="41"/>
      <c r="C32" s="111"/>
      <c r="D32" s="41"/>
      <c r="E32" s="119"/>
      <c r="F32" s="113"/>
      <c r="G32" s="40"/>
      <c r="H32" s="71"/>
      <c r="I32" s="71"/>
      <c r="J32" s="96"/>
      <c r="K32" s="97"/>
      <c r="L32" s="71"/>
      <c r="M32" s="71"/>
      <c r="N32" s="96"/>
      <c r="O32" s="84"/>
      <c r="P32" s="85"/>
      <c r="Q32" s="104"/>
      <c r="R32" s="104"/>
      <c r="S32" s="86"/>
      <c r="T32" s="87"/>
      <c r="U32" s="105"/>
      <c r="V32" s="112"/>
      <c r="W32" s="22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11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</row>
    <row r="33" spans="1:74" ht="11.25" outlineLevel="1">
      <c r="A33" s="40">
        <v>20</v>
      </c>
      <c r="B33" s="41"/>
      <c r="C33" s="111"/>
      <c r="D33" s="41"/>
      <c r="E33" s="119"/>
      <c r="F33" s="113"/>
      <c r="G33" s="40"/>
      <c r="H33" s="71"/>
      <c r="I33" s="71"/>
      <c r="J33" s="96"/>
      <c r="K33" s="97"/>
      <c r="L33" s="71"/>
      <c r="M33" s="71"/>
      <c r="N33" s="96"/>
      <c r="O33" s="84"/>
      <c r="P33" s="85"/>
      <c r="Q33" s="104"/>
      <c r="R33" s="104"/>
      <c r="S33" s="86"/>
      <c r="T33" s="87"/>
      <c r="U33" s="105"/>
      <c r="V33" s="112"/>
      <c r="W33" s="22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11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</row>
    <row r="34" spans="1:74" ht="11.25" outlineLevel="1">
      <c r="A34" s="40">
        <v>21</v>
      </c>
      <c r="B34" s="41"/>
      <c r="C34" s="111"/>
      <c r="D34" s="41"/>
      <c r="E34" s="119"/>
      <c r="F34" s="113"/>
      <c r="G34" s="40"/>
      <c r="H34" s="71"/>
      <c r="I34" s="71"/>
      <c r="J34" s="96"/>
      <c r="K34" s="97"/>
      <c r="L34" s="71"/>
      <c r="M34" s="71"/>
      <c r="N34" s="96"/>
      <c r="O34" s="84"/>
      <c r="P34" s="85"/>
      <c r="Q34" s="104"/>
      <c r="R34" s="104"/>
      <c r="S34" s="86"/>
      <c r="T34" s="87"/>
      <c r="U34" s="105"/>
      <c r="V34" s="112"/>
      <c r="W34" s="22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11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</row>
    <row r="35" spans="1:74" ht="11.25" outlineLevel="1">
      <c r="A35" s="40">
        <v>22</v>
      </c>
      <c r="B35" s="41"/>
      <c r="C35" s="111"/>
      <c r="D35" s="41"/>
      <c r="E35" s="119"/>
      <c r="F35" s="113"/>
      <c r="G35" s="40"/>
      <c r="H35" s="71"/>
      <c r="I35" s="71"/>
      <c r="J35" s="96"/>
      <c r="K35" s="97"/>
      <c r="L35" s="71"/>
      <c r="M35" s="71"/>
      <c r="N35" s="96"/>
      <c r="O35" s="84"/>
      <c r="P35" s="85"/>
      <c r="Q35" s="104"/>
      <c r="R35" s="104"/>
      <c r="S35" s="86"/>
      <c r="T35" s="87"/>
      <c r="U35" s="105"/>
      <c r="V35" s="112"/>
      <c r="W35" s="22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11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</row>
    <row r="36" spans="1:74" ht="11.25" outlineLevel="1">
      <c r="A36" s="40">
        <v>23</v>
      </c>
      <c r="B36" s="41"/>
      <c r="C36" s="111"/>
      <c r="D36" s="41"/>
      <c r="E36" s="119"/>
      <c r="F36" s="113"/>
      <c r="G36" s="40"/>
      <c r="H36" s="71"/>
      <c r="I36" s="71"/>
      <c r="J36" s="96"/>
      <c r="K36" s="97"/>
      <c r="L36" s="71"/>
      <c r="M36" s="71"/>
      <c r="N36" s="96"/>
      <c r="O36" s="84"/>
      <c r="P36" s="85"/>
      <c r="Q36" s="104"/>
      <c r="R36" s="104"/>
      <c r="S36" s="86"/>
      <c r="T36" s="87"/>
      <c r="U36" s="105"/>
      <c r="V36" s="112"/>
      <c r="W36" s="22"/>
      <c r="X36" s="23"/>
      <c r="Y36" s="23"/>
      <c r="Z36" s="23"/>
      <c r="AA36" s="23"/>
      <c r="AB36" s="23"/>
      <c r="AC36" s="23"/>
      <c r="AD36" s="23"/>
      <c r="AE36" s="23"/>
      <c r="AF36" s="23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11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</row>
    <row r="37" spans="1:74" ht="11.25" outlineLevel="1">
      <c r="A37" s="40">
        <v>24</v>
      </c>
      <c r="B37" s="41"/>
      <c r="C37" s="111"/>
      <c r="D37" s="41"/>
      <c r="E37" s="119"/>
      <c r="F37" s="113"/>
      <c r="G37" s="40"/>
      <c r="H37" s="71"/>
      <c r="I37" s="71"/>
      <c r="J37" s="96"/>
      <c r="K37" s="97"/>
      <c r="L37" s="71"/>
      <c r="M37" s="71"/>
      <c r="N37" s="96"/>
      <c r="O37" s="84"/>
      <c r="P37" s="85"/>
      <c r="Q37" s="104"/>
      <c r="R37" s="104"/>
      <c r="S37" s="86"/>
      <c r="T37" s="87"/>
      <c r="U37" s="105"/>
      <c r="V37" s="112"/>
      <c r="W37" s="22"/>
      <c r="X37" s="23"/>
      <c r="Y37" s="23"/>
      <c r="Z37" s="23"/>
      <c r="AA37" s="23"/>
      <c r="AB37" s="23"/>
      <c r="AC37" s="23"/>
      <c r="AD37" s="23"/>
      <c r="AE37" s="23"/>
      <c r="AF37" s="23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11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</row>
    <row r="38" spans="1:74" ht="24.75" customHeight="1" outlineLevel="1">
      <c r="A38" s="40">
        <v>25</v>
      </c>
      <c r="B38" s="41"/>
      <c r="C38" s="111"/>
      <c r="D38" s="41"/>
      <c r="E38" s="119"/>
      <c r="F38" s="113"/>
      <c r="G38" s="40"/>
      <c r="H38" s="71"/>
      <c r="I38" s="71"/>
      <c r="J38" s="96"/>
      <c r="K38" s="97"/>
      <c r="L38" s="71"/>
      <c r="M38" s="71"/>
      <c r="N38" s="96"/>
      <c r="O38" s="84"/>
      <c r="P38" s="85"/>
      <c r="Q38" s="104"/>
      <c r="R38" s="104"/>
      <c r="S38" s="86"/>
      <c r="T38" s="87"/>
      <c r="U38" s="105"/>
      <c r="V38" s="112"/>
      <c r="W38" s="22"/>
      <c r="X38" s="23"/>
      <c r="Y38" s="23"/>
      <c r="Z38" s="23"/>
      <c r="AA38" s="23"/>
      <c r="AB38" s="23"/>
      <c r="AC38" s="23"/>
      <c r="AD38" s="23"/>
      <c r="AE38" s="23"/>
      <c r="AF38" s="23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11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</row>
    <row r="39" spans="1:74" ht="11.25" outlineLevel="1">
      <c r="A39" s="40">
        <v>26</v>
      </c>
      <c r="B39" s="41"/>
      <c r="C39" s="111"/>
      <c r="D39" s="41"/>
      <c r="E39" s="119"/>
      <c r="F39" s="113"/>
      <c r="G39" s="40"/>
      <c r="H39" s="71"/>
      <c r="I39" s="71"/>
      <c r="J39" s="96"/>
      <c r="K39" s="97"/>
      <c r="L39" s="71"/>
      <c r="M39" s="71"/>
      <c r="N39" s="96"/>
      <c r="O39" s="84"/>
      <c r="P39" s="85"/>
      <c r="Q39" s="104"/>
      <c r="R39" s="104"/>
      <c r="S39" s="86"/>
      <c r="T39" s="87"/>
      <c r="U39" s="105"/>
      <c r="V39" s="112"/>
      <c r="W39" s="22"/>
      <c r="X39" s="23"/>
      <c r="Y39" s="23"/>
      <c r="Z39" s="23"/>
      <c r="AA39" s="23"/>
      <c r="AB39" s="23"/>
      <c r="AC39" s="23"/>
      <c r="AD39" s="23"/>
      <c r="AE39" s="23"/>
      <c r="AF39" s="23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11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</row>
    <row r="40" spans="1:74" ht="11.25" outlineLevel="1">
      <c r="A40" s="40">
        <v>27</v>
      </c>
      <c r="B40" s="41"/>
      <c r="C40" s="111"/>
      <c r="D40" s="41"/>
      <c r="E40" s="119"/>
      <c r="F40" s="113"/>
      <c r="G40" s="40"/>
      <c r="H40" s="71"/>
      <c r="I40" s="71"/>
      <c r="J40" s="96"/>
      <c r="K40" s="97"/>
      <c r="L40" s="71"/>
      <c r="M40" s="71"/>
      <c r="N40" s="96"/>
      <c r="O40" s="84"/>
      <c r="P40" s="85"/>
      <c r="Q40" s="104"/>
      <c r="R40" s="104"/>
      <c r="S40" s="86"/>
      <c r="T40" s="87"/>
      <c r="U40" s="105"/>
      <c r="V40" s="112"/>
      <c r="W40" s="22"/>
      <c r="X40" s="23"/>
      <c r="Y40" s="23"/>
      <c r="Z40" s="23"/>
      <c r="AA40" s="23"/>
      <c r="AB40" s="23"/>
      <c r="AC40" s="23"/>
      <c r="AD40" s="23"/>
      <c r="AE40" s="23"/>
      <c r="AF40" s="23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11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</row>
    <row r="41" spans="1:74" ht="11.25" outlineLevel="1">
      <c r="A41" s="40">
        <v>28</v>
      </c>
      <c r="B41" s="41"/>
      <c r="C41" s="111"/>
      <c r="D41" s="41"/>
      <c r="E41" s="119"/>
      <c r="F41" s="113"/>
      <c r="G41" s="40"/>
      <c r="H41" s="71"/>
      <c r="I41" s="71"/>
      <c r="J41" s="96"/>
      <c r="K41" s="97"/>
      <c r="L41" s="71"/>
      <c r="M41" s="71"/>
      <c r="N41" s="96"/>
      <c r="O41" s="84"/>
      <c r="P41" s="85"/>
      <c r="Q41" s="104"/>
      <c r="R41" s="104"/>
      <c r="S41" s="86"/>
      <c r="T41" s="87"/>
      <c r="U41" s="105"/>
      <c r="V41" s="112"/>
      <c r="W41" s="22"/>
      <c r="X41" s="23"/>
      <c r="Y41" s="23"/>
      <c r="Z41" s="23"/>
      <c r="AA41" s="23"/>
      <c r="AB41" s="23"/>
      <c r="AC41" s="23"/>
      <c r="AD41" s="23"/>
      <c r="AE41" s="23"/>
      <c r="AF41" s="23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11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</row>
    <row r="42" spans="1:74" ht="11.25" outlineLevel="1">
      <c r="A42" s="40">
        <v>29</v>
      </c>
      <c r="B42" s="41"/>
      <c r="C42" s="111"/>
      <c r="D42" s="41"/>
      <c r="E42" s="119"/>
      <c r="F42" s="113"/>
      <c r="G42" s="40"/>
      <c r="H42" s="71"/>
      <c r="I42" s="71"/>
      <c r="J42" s="96"/>
      <c r="K42" s="97"/>
      <c r="L42" s="71"/>
      <c r="M42" s="71"/>
      <c r="N42" s="96"/>
      <c r="O42" s="84"/>
      <c r="P42" s="85"/>
      <c r="Q42" s="104"/>
      <c r="R42" s="104"/>
      <c r="S42" s="86"/>
      <c r="T42" s="87"/>
      <c r="U42" s="105"/>
      <c r="V42" s="112"/>
      <c r="W42" s="22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11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</row>
    <row r="43" spans="1:74" ht="11.25" outlineLevel="1">
      <c r="A43" s="40">
        <v>30</v>
      </c>
      <c r="B43" s="41"/>
      <c r="C43" s="111"/>
      <c r="D43" s="41"/>
      <c r="E43" s="119"/>
      <c r="F43" s="113"/>
      <c r="G43" s="40"/>
      <c r="H43" s="71"/>
      <c r="I43" s="71"/>
      <c r="J43" s="96"/>
      <c r="K43" s="97"/>
      <c r="L43" s="71"/>
      <c r="M43" s="71"/>
      <c r="N43" s="96"/>
      <c r="O43" s="84"/>
      <c r="P43" s="85"/>
      <c r="Q43" s="104"/>
      <c r="R43" s="104"/>
      <c r="S43" s="86"/>
      <c r="T43" s="87"/>
      <c r="U43" s="105"/>
      <c r="V43" s="112"/>
      <c r="W43" s="22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11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</row>
    <row r="44" spans="1:74" ht="20.25" customHeight="1" outlineLevel="1">
      <c r="A44" s="40">
        <v>31</v>
      </c>
      <c r="B44" s="41"/>
      <c r="C44" s="111"/>
      <c r="D44" s="41"/>
      <c r="E44" s="119"/>
      <c r="F44" s="113"/>
      <c r="G44" s="40"/>
      <c r="H44" s="71"/>
      <c r="I44" s="71"/>
      <c r="J44" s="96"/>
      <c r="K44" s="97"/>
      <c r="L44" s="71"/>
      <c r="M44" s="71"/>
      <c r="N44" s="96"/>
      <c r="O44" s="84"/>
      <c r="P44" s="85"/>
      <c r="Q44" s="104"/>
      <c r="R44" s="104"/>
      <c r="S44" s="86"/>
      <c r="T44" s="87"/>
      <c r="U44" s="105"/>
      <c r="V44" s="112"/>
      <c r="W44" s="22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11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</row>
    <row r="45" spans="1:74" ht="12.75" customHeight="1" outlineLevel="1">
      <c r="A45" s="40">
        <v>32</v>
      </c>
      <c r="B45" s="41"/>
      <c r="C45" s="111"/>
      <c r="D45" s="41"/>
      <c r="E45" s="119"/>
      <c r="F45" s="113"/>
      <c r="G45" s="40"/>
      <c r="H45" s="71"/>
      <c r="I45" s="71"/>
      <c r="J45" s="96"/>
      <c r="K45" s="97"/>
      <c r="L45" s="71"/>
      <c r="M45" s="71"/>
      <c r="N45" s="96"/>
      <c r="O45" s="84"/>
      <c r="P45" s="85"/>
      <c r="Q45" s="104"/>
      <c r="R45" s="104"/>
      <c r="S45" s="86"/>
      <c r="T45" s="87"/>
      <c r="U45" s="105"/>
      <c r="V45" s="112"/>
      <c r="W45" s="22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11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</row>
    <row r="46" spans="1:74" ht="12.75" customHeight="1" outlineLevel="1">
      <c r="A46" s="40">
        <v>33</v>
      </c>
      <c r="B46" s="41"/>
      <c r="C46" s="111"/>
      <c r="D46" s="41"/>
      <c r="E46" s="119"/>
      <c r="F46" s="113"/>
      <c r="G46" s="40"/>
      <c r="H46" s="71"/>
      <c r="I46" s="71"/>
      <c r="J46" s="96"/>
      <c r="K46" s="97"/>
      <c r="L46" s="71"/>
      <c r="M46" s="71"/>
      <c r="N46" s="96"/>
      <c r="O46" s="84"/>
      <c r="P46" s="85"/>
      <c r="Q46" s="104"/>
      <c r="R46" s="104"/>
      <c r="S46" s="86"/>
      <c r="T46" s="87"/>
      <c r="U46" s="105"/>
      <c r="V46" s="112"/>
      <c r="W46" s="22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11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</row>
    <row r="47" spans="1:74" ht="12.75" customHeight="1" outlineLevel="1">
      <c r="A47" s="40">
        <v>34</v>
      </c>
      <c r="B47" s="41"/>
      <c r="C47" s="111"/>
      <c r="D47" s="41"/>
      <c r="E47" s="119"/>
      <c r="F47" s="113"/>
      <c r="G47" s="40"/>
      <c r="H47" s="71"/>
      <c r="I47" s="71"/>
      <c r="J47" s="96"/>
      <c r="K47" s="97"/>
      <c r="L47" s="71"/>
      <c r="M47" s="71"/>
      <c r="N47" s="96"/>
      <c r="O47" s="84"/>
      <c r="P47" s="85"/>
      <c r="Q47" s="104"/>
      <c r="R47" s="104"/>
      <c r="S47" s="86"/>
      <c r="T47" s="87"/>
      <c r="U47" s="105"/>
      <c r="V47" s="112"/>
      <c r="W47" s="22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11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</row>
    <row r="48" spans="1:74" ht="12.75" customHeight="1" outlineLevel="1">
      <c r="A48" s="40">
        <v>35</v>
      </c>
      <c r="B48" s="41"/>
      <c r="C48" s="111"/>
      <c r="D48" s="41"/>
      <c r="E48" s="119"/>
      <c r="F48" s="113"/>
      <c r="G48" s="40"/>
      <c r="H48" s="71"/>
      <c r="I48" s="71"/>
      <c r="J48" s="96"/>
      <c r="K48" s="97"/>
      <c r="L48" s="71"/>
      <c r="M48" s="71"/>
      <c r="N48" s="96"/>
      <c r="O48" s="84"/>
      <c r="P48" s="85"/>
      <c r="Q48" s="104"/>
      <c r="R48" s="104"/>
      <c r="S48" s="86"/>
      <c r="T48" s="87"/>
      <c r="U48" s="105"/>
      <c r="V48" s="112"/>
      <c r="W48" s="22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11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</row>
    <row r="49" spans="1:74" ht="24" customHeight="1" outlineLevel="1">
      <c r="A49" s="40">
        <v>36</v>
      </c>
      <c r="B49" s="41"/>
      <c r="C49" s="111"/>
      <c r="D49" s="41"/>
      <c r="E49" s="119"/>
      <c r="F49" s="115"/>
      <c r="G49" s="40"/>
      <c r="H49" s="71"/>
      <c r="I49" s="71"/>
      <c r="J49" s="96"/>
      <c r="K49" s="97"/>
      <c r="L49" s="71"/>
      <c r="M49" s="71"/>
      <c r="N49" s="96"/>
      <c r="O49" s="84"/>
      <c r="P49" s="85"/>
      <c r="Q49" s="104"/>
      <c r="R49" s="104"/>
      <c r="S49" s="86"/>
      <c r="T49" s="87"/>
      <c r="U49" s="105"/>
      <c r="V49" s="112"/>
      <c r="W49" s="22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11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</row>
    <row r="50" spans="1:74" ht="15.75" customHeight="1" outlineLevel="1">
      <c r="A50" s="40">
        <v>37</v>
      </c>
      <c r="B50" s="41"/>
      <c r="C50" s="111"/>
      <c r="D50" s="41"/>
      <c r="E50" s="119"/>
      <c r="F50" s="115"/>
      <c r="G50" s="40"/>
      <c r="H50" s="71"/>
      <c r="I50" s="71"/>
      <c r="J50" s="96"/>
      <c r="K50" s="97"/>
      <c r="L50" s="71"/>
      <c r="M50" s="71"/>
      <c r="N50" s="96"/>
      <c r="O50" s="84"/>
      <c r="P50" s="85"/>
      <c r="Q50" s="104"/>
      <c r="R50" s="104"/>
      <c r="S50" s="86"/>
      <c r="T50" s="87"/>
      <c r="U50" s="105"/>
      <c r="V50" s="112"/>
      <c r="W50" s="22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11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</row>
    <row r="51" spans="1:74" ht="15.75" customHeight="1" outlineLevel="1">
      <c r="A51" s="40">
        <v>38</v>
      </c>
      <c r="B51" s="41"/>
      <c r="C51" s="111"/>
      <c r="D51" s="41"/>
      <c r="E51" s="119"/>
      <c r="F51" s="115"/>
      <c r="G51" s="40"/>
      <c r="H51" s="71"/>
      <c r="I51" s="71"/>
      <c r="J51" s="96"/>
      <c r="K51" s="97"/>
      <c r="L51" s="71"/>
      <c r="M51" s="71"/>
      <c r="N51" s="96"/>
      <c r="O51" s="84"/>
      <c r="P51" s="85"/>
      <c r="Q51" s="104"/>
      <c r="R51" s="104"/>
      <c r="S51" s="86"/>
      <c r="T51" s="87"/>
      <c r="U51" s="105"/>
      <c r="V51" s="112"/>
      <c r="W51" s="22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11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</row>
    <row r="52" spans="1:74" ht="15.75" customHeight="1" outlineLevel="1">
      <c r="A52" s="40">
        <v>39</v>
      </c>
      <c r="B52" s="41"/>
      <c r="C52" s="111"/>
      <c r="D52" s="41"/>
      <c r="E52" s="119"/>
      <c r="F52" s="115"/>
      <c r="G52" s="40"/>
      <c r="H52" s="71"/>
      <c r="I52" s="71"/>
      <c r="J52" s="96"/>
      <c r="K52" s="97"/>
      <c r="L52" s="71"/>
      <c r="M52" s="71"/>
      <c r="N52" s="96"/>
      <c r="O52" s="84"/>
      <c r="P52" s="85"/>
      <c r="Q52" s="104"/>
      <c r="R52" s="104"/>
      <c r="S52" s="86"/>
      <c r="T52" s="87"/>
      <c r="U52" s="105"/>
      <c r="V52" s="112"/>
      <c r="W52" s="22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11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</row>
    <row r="53" spans="1:74" ht="15.75" customHeight="1" outlineLevel="1">
      <c r="A53" s="40">
        <v>40</v>
      </c>
      <c r="B53" s="41"/>
      <c r="C53" s="111"/>
      <c r="D53" s="41"/>
      <c r="E53" s="119"/>
      <c r="F53" s="115"/>
      <c r="G53" s="40"/>
      <c r="H53" s="71"/>
      <c r="I53" s="71"/>
      <c r="J53" s="96"/>
      <c r="K53" s="97"/>
      <c r="L53" s="71"/>
      <c r="M53" s="71"/>
      <c r="N53" s="96"/>
      <c r="O53" s="84"/>
      <c r="P53" s="85"/>
      <c r="Q53" s="104"/>
      <c r="R53" s="104"/>
      <c r="S53" s="86"/>
      <c r="T53" s="87"/>
      <c r="U53" s="105"/>
      <c r="V53" s="112"/>
      <c r="W53" s="22"/>
      <c r="X53" s="23"/>
      <c r="Y53" s="23"/>
      <c r="Z53" s="23"/>
      <c r="AA53" s="23"/>
      <c r="AB53" s="23"/>
      <c r="AC53" s="23"/>
      <c r="AD53" s="23"/>
      <c r="AE53" s="23"/>
      <c r="AF53" s="23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11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</row>
    <row r="54" spans="1:74" ht="11.25" outlineLevel="1">
      <c r="A54" s="40">
        <v>41</v>
      </c>
      <c r="B54" s="41"/>
      <c r="C54" s="111"/>
      <c r="D54" s="41"/>
      <c r="E54" s="119"/>
      <c r="F54" s="116"/>
      <c r="G54" s="40"/>
      <c r="H54" s="71"/>
      <c r="I54" s="71"/>
      <c r="J54" s="96"/>
      <c r="K54" s="97"/>
      <c r="L54" s="71"/>
      <c r="M54" s="71"/>
      <c r="N54" s="96"/>
      <c r="O54" s="84"/>
      <c r="P54" s="85"/>
      <c r="Q54" s="104"/>
      <c r="R54" s="104"/>
      <c r="S54" s="86"/>
      <c r="T54" s="87"/>
      <c r="U54" s="105"/>
      <c r="V54" s="112"/>
      <c r="W54" s="22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11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</row>
    <row r="55" spans="1:74" ht="11.25" outlineLevel="1">
      <c r="A55" s="40">
        <v>42</v>
      </c>
      <c r="B55" s="41"/>
      <c r="C55" s="111"/>
      <c r="D55" s="41"/>
      <c r="E55" s="119"/>
      <c r="F55" s="116"/>
      <c r="G55" s="40"/>
      <c r="H55" s="71"/>
      <c r="I55" s="71"/>
      <c r="J55" s="96"/>
      <c r="K55" s="97"/>
      <c r="L55" s="71"/>
      <c r="M55" s="71"/>
      <c r="N55" s="96"/>
      <c r="O55" s="84"/>
      <c r="P55" s="85"/>
      <c r="Q55" s="104"/>
      <c r="R55" s="104"/>
      <c r="S55" s="86"/>
      <c r="T55" s="87"/>
      <c r="U55" s="105"/>
      <c r="V55" s="112"/>
      <c r="W55" s="22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11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</row>
    <row r="56" spans="1:74" ht="11.25" outlineLevel="1">
      <c r="A56" s="40">
        <v>43</v>
      </c>
      <c r="B56" s="41"/>
      <c r="C56" s="111"/>
      <c r="D56" s="41"/>
      <c r="E56" s="119"/>
      <c r="F56" s="116"/>
      <c r="G56" s="40"/>
      <c r="H56" s="71"/>
      <c r="I56" s="71"/>
      <c r="J56" s="96"/>
      <c r="K56" s="97"/>
      <c r="L56" s="71"/>
      <c r="M56" s="71"/>
      <c r="N56" s="96"/>
      <c r="O56" s="84"/>
      <c r="P56" s="85"/>
      <c r="Q56" s="104"/>
      <c r="R56" s="104"/>
      <c r="S56" s="86"/>
      <c r="T56" s="87"/>
      <c r="U56" s="105"/>
      <c r="V56" s="112"/>
      <c r="W56" s="22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11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</row>
    <row r="57" spans="1:74" ht="11.25" outlineLevel="1">
      <c r="A57" s="40">
        <v>44</v>
      </c>
      <c r="B57" s="41"/>
      <c r="C57" s="111"/>
      <c r="D57" s="41"/>
      <c r="E57" s="119"/>
      <c r="F57" s="116"/>
      <c r="G57" s="40"/>
      <c r="H57" s="71"/>
      <c r="I57" s="71"/>
      <c r="J57" s="96"/>
      <c r="K57" s="97"/>
      <c r="L57" s="71"/>
      <c r="M57" s="71"/>
      <c r="N57" s="96"/>
      <c r="O57" s="84"/>
      <c r="P57" s="85"/>
      <c r="Q57" s="104"/>
      <c r="R57" s="104"/>
      <c r="S57" s="86"/>
      <c r="T57" s="87"/>
      <c r="U57" s="105"/>
      <c r="V57" s="112"/>
      <c r="W57" s="22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11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</row>
    <row r="58" spans="1:74" ht="11.25" outlineLevel="1">
      <c r="A58" s="40">
        <v>45</v>
      </c>
      <c r="B58" s="41"/>
      <c r="C58" s="111"/>
      <c r="D58" s="41"/>
      <c r="E58" s="119"/>
      <c r="F58" s="116"/>
      <c r="G58" s="40"/>
      <c r="H58" s="71"/>
      <c r="I58" s="71"/>
      <c r="J58" s="96"/>
      <c r="K58" s="97"/>
      <c r="L58" s="71"/>
      <c r="M58" s="71"/>
      <c r="N58" s="96"/>
      <c r="O58" s="84"/>
      <c r="P58" s="85"/>
      <c r="Q58" s="104"/>
      <c r="R58" s="104"/>
      <c r="S58" s="86"/>
      <c r="T58" s="87"/>
      <c r="U58" s="105"/>
      <c r="V58" s="112"/>
      <c r="W58" s="22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11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</row>
    <row r="59" spans="1:74" ht="12.75" customHeight="1" outlineLevel="1">
      <c r="A59" s="40">
        <v>46</v>
      </c>
      <c r="B59" s="41"/>
      <c r="C59" s="111"/>
      <c r="D59" s="41"/>
      <c r="E59" s="119"/>
      <c r="F59" s="120"/>
      <c r="G59" s="40"/>
      <c r="H59" s="71"/>
      <c r="I59" s="71"/>
      <c r="J59" s="96"/>
      <c r="K59" s="97"/>
      <c r="L59" s="71"/>
      <c r="M59" s="71"/>
      <c r="N59" s="96"/>
      <c r="O59" s="84"/>
      <c r="P59" s="85"/>
      <c r="Q59" s="104"/>
      <c r="R59" s="104"/>
      <c r="S59" s="86"/>
      <c r="T59" s="87"/>
      <c r="U59" s="105"/>
      <c r="V59" s="112"/>
      <c r="W59" s="22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</row>
    <row r="60" spans="1:74" ht="12" customHeight="1" outlineLevel="1">
      <c r="A60" s="40">
        <v>47</v>
      </c>
      <c r="B60" s="41"/>
      <c r="C60" s="107"/>
      <c r="D60" s="41"/>
      <c r="E60" s="119"/>
      <c r="F60" s="120"/>
      <c r="G60" s="40"/>
      <c r="H60" s="71"/>
      <c r="I60" s="71"/>
      <c r="J60" s="96"/>
      <c r="K60" s="97"/>
      <c r="L60" s="71"/>
      <c r="M60" s="71"/>
      <c r="N60" s="96"/>
      <c r="O60" s="84"/>
      <c r="P60" s="85"/>
      <c r="Q60" s="104"/>
      <c r="R60" s="104"/>
      <c r="S60" s="86"/>
      <c r="T60" s="87"/>
      <c r="U60" s="87"/>
      <c r="V60" s="88"/>
      <c r="W60" s="22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12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</row>
    <row r="61" spans="1:74" ht="12" customHeight="1" outlineLevel="1">
      <c r="A61" s="40">
        <v>48</v>
      </c>
      <c r="B61" s="41"/>
      <c r="C61" s="107"/>
      <c r="D61" s="41"/>
      <c r="E61" s="119"/>
      <c r="F61" s="120"/>
      <c r="G61" s="40"/>
      <c r="H61" s="71"/>
      <c r="I61" s="71"/>
      <c r="J61" s="96"/>
      <c r="K61" s="97"/>
      <c r="L61" s="71"/>
      <c r="M61" s="71"/>
      <c r="N61" s="96"/>
      <c r="O61" s="84"/>
      <c r="P61" s="85"/>
      <c r="Q61" s="104"/>
      <c r="R61" s="104"/>
      <c r="S61" s="86"/>
      <c r="T61" s="87"/>
      <c r="U61" s="87"/>
      <c r="V61" s="88"/>
      <c r="W61" s="22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12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</row>
    <row r="62" spans="1:74" ht="12" customHeight="1" outlineLevel="1">
      <c r="A62" s="40">
        <v>49</v>
      </c>
      <c r="B62" s="41"/>
      <c r="C62" s="107"/>
      <c r="D62" s="41"/>
      <c r="E62" s="119"/>
      <c r="F62" s="120"/>
      <c r="G62" s="40"/>
      <c r="H62" s="71"/>
      <c r="I62" s="71"/>
      <c r="J62" s="96"/>
      <c r="K62" s="97"/>
      <c r="L62" s="71"/>
      <c r="M62" s="71"/>
      <c r="N62" s="96"/>
      <c r="O62" s="84"/>
      <c r="P62" s="85"/>
      <c r="Q62" s="104"/>
      <c r="R62" s="104"/>
      <c r="S62" s="86"/>
      <c r="T62" s="87"/>
      <c r="U62" s="87"/>
      <c r="V62" s="88"/>
      <c r="W62" s="22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12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</row>
    <row r="63" spans="1:74" ht="11.25" outlineLevel="1">
      <c r="A63" s="40">
        <v>50</v>
      </c>
      <c r="B63" s="41"/>
      <c r="C63" s="111"/>
      <c r="D63" s="41"/>
      <c r="E63" s="119"/>
      <c r="F63" s="120"/>
      <c r="G63" s="40"/>
      <c r="H63" s="71"/>
      <c r="I63" s="71"/>
      <c r="J63" s="96"/>
      <c r="K63" s="97"/>
      <c r="L63" s="71"/>
      <c r="M63" s="71"/>
      <c r="N63" s="96"/>
      <c r="O63" s="84"/>
      <c r="P63" s="85"/>
      <c r="Q63" s="104"/>
      <c r="R63" s="104"/>
      <c r="S63" s="86"/>
      <c r="T63" s="87"/>
      <c r="U63" s="105"/>
      <c r="V63" s="112"/>
      <c r="W63" s="22"/>
      <c r="X63" s="23"/>
      <c r="Y63" s="23"/>
      <c r="Z63" s="23"/>
      <c r="AA63" s="23"/>
      <c r="AB63" s="23"/>
      <c r="AC63" s="23"/>
      <c r="AD63" s="23"/>
      <c r="AE63" s="23"/>
      <c r="AF63" s="23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</row>
    <row r="64" spans="1:74" ht="12" customHeight="1" outlineLevel="1">
      <c r="A64" s="40">
        <v>51</v>
      </c>
      <c r="B64" s="41"/>
      <c r="C64" s="107"/>
      <c r="D64" s="41"/>
      <c r="E64" s="119"/>
      <c r="F64" s="120"/>
      <c r="G64" s="40"/>
      <c r="H64" s="71"/>
      <c r="I64" s="71"/>
      <c r="J64" s="96"/>
      <c r="K64" s="97"/>
      <c r="L64" s="71"/>
      <c r="M64" s="71"/>
      <c r="N64" s="96"/>
      <c r="O64" s="84"/>
      <c r="P64" s="85"/>
      <c r="Q64" s="104"/>
      <c r="R64" s="104"/>
      <c r="S64" s="86"/>
      <c r="T64" s="87"/>
      <c r="U64" s="87"/>
      <c r="V64" s="88"/>
      <c r="W64" s="22"/>
      <c r="X64" s="23"/>
      <c r="Y64" s="23"/>
      <c r="Z64" s="23"/>
      <c r="AA64" s="23"/>
      <c r="AB64" s="23"/>
      <c r="AC64" s="23"/>
      <c r="AD64" s="23"/>
      <c r="AE64" s="23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12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</row>
    <row r="65" spans="1:74" ht="12" customHeight="1" outlineLevel="1">
      <c r="A65" s="40">
        <v>52</v>
      </c>
      <c r="B65" s="41"/>
      <c r="C65" s="107"/>
      <c r="D65" s="41"/>
      <c r="E65" s="119"/>
      <c r="F65" s="120"/>
      <c r="G65" s="40"/>
      <c r="H65" s="71"/>
      <c r="I65" s="71"/>
      <c r="J65" s="96"/>
      <c r="K65" s="97"/>
      <c r="L65" s="71"/>
      <c r="M65" s="71"/>
      <c r="N65" s="96"/>
      <c r="O65" s="84"/>
      <c r="P65" s="85"/>
      <c r="Q65" s="104"/>
      <c r="R65" s="104"/>
      <c r="S65" s="86"/>
      <c r="T65" s="87"/>
      <c r="U65" s="87"/>
      <c r="V65" s="88"/>
      <c r="W65" s="22"/>
      <c r="X65" s="23"/>
      <c r="Y65" s="23"/>
      <c r="Z65" s="23"/>
      <c r="AA65" s="23"/>
      <c r="AB65" s="23"/>
      <c r="AC65" s="23"/>
      <c r="AD65" s="23"/>
      <c r="AE65" s="23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</row>
    <row r="66" spans="1:74" ht="12" customHeight="1" outlineLevel="1">
      <c r="A66" s="40">
        <v>53</v>
      </c>
      <c r="B66" s="41"/>
      <c r="C66" s="107"/>
      <c r="D66" s="41"/>
      <c r="E66" s="119"/>
      <c r="F66" s="120"/>
      <c r="G66" s="40"/>
      <c r="H66" s="71"/>
      <c r="I66" s="71"/>
      <c r="J66" s="96"/>
      <c r="K66" s="97"/>
      <c r="L66" s="71"/>
      <c r="M66" s="71"/>
      <c r="N66" s="96"/>
      <c r="O66" s="84"/>
      <c r="P66" s="85"/>
      <c r="Q66" s="104"/>
      <c r="R66" s="104"/>
      <c r="S66" s="86"/>
      <c r="T66" s="87"/>
      <c r="U66" s="87"/>
      <c r="V66" s="88"/>
      <c r="W66" s="22"/>
      <c r="X66" s="23"/>
      <c r="Y66" s="23"/>
      <c r="Z66" s="23"/>
      <c r="AA66" s="23"/>
      <c r="AB66" s="23"/>
      <c r="AC66" s="23"/>
      <c r="AD66" s="23"/>
      <c r="AE66" s="23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11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</row>
    <row r="67" spans="1:74" ht="12" customHeight="1" outlineLevel="1">
      <c r="A67" s="40">
        <v>54</v>
      </c>
      <c r="B67" s="41"/>
      <c r="C67" s="107"/>
      <c r="D67" s="41"/>
      <c r="E67" s="119"/>
      <c r="F67" s="120"/>
      <c r="G67" s="40"/>
      <c r="H67" s="71"/>
      <c r="I67" s="71"/>
      <c r="J67" s="96"/>
      <c r="K67" s="97"/>
      <c r="L67" s="71"/>
      <c r="M67" s="71"/>
      <c r="N67" s="96"/>
      <c r="O67" s="84"/>
      <c r="P67" s="85"/>
      <c r="Q67" s="104"/>
      <c r="R67" s="104"/>
      <c r="S67" s="86"/>
      <c r="T67" s="87"/>
      <c r="U67" s="87"/>
      <c r="V67" s="88"/>
      <c r="W67" s="22"/>
      <c r="X67" s="23"/>
      <c r="Y67" s="23"/>
      <c r="Z67" s="23"/>
      <c r="AA67" s="23"/>
      <c r="AB67" s="23"/>
      <c r="AC67" s="23"/>
      <c r="AD67" s="23"/>
      <c r="AE67" s="23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11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</row>
    <row r="68" spans="1:74" ht="12" customHeight="1" outlineLevel="1">
      <c r="A68" s="40">
        <v>55</v>
      </c>
      <c r="B68" s="41"/>
      <c r="C68" s="107"/>
      <c r="D68" s="41"/>
      <c r="E68" s="119"/>
      <c r="F68" s="120"/>
      <c r="G68" s="40"/>
      <c r="H68" s="71"/>
      <c r="I68" s="71"/>
      <c r="J68" s="96"/>
      <c r="K68" s="97"/>
      <c r="L68" s="71"/>
      <c r="M68" s="71"/>
      <c r="N68" s="96"/>
      <c r="O68" s="84"/>
      <c r="P68" s="85"/>
      <c r="Q68" s="104"/>
      <c r="R68" s="104"/>
      <c r="S68" s="86"/>
      <c r="T68" s="87"/>
      <c r="U68" s="87"/>
      <c r="V68" s="88"/>
      <c r="W68" s="22"/>
      <c r="X68" s="23"/>
      <c r="Y68" s="23"/>
      <c r="Z68" s="23"/>
      <c r="AA68" s="23"/>
      <c r="AB68" s="23"/>
      <c r="AC68" s="23"/>
      <c r="AD68" s="23"/>
      <c r="AE68" s="23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11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</row>
    <row r="69" spans="1:74" ht="12" customHeight="1" outlineLevel="1">
      <c r="A69" s="40">
        <v>56</v>
      </c>
      <c r="B69" s="41"/>
      <c r="C69" s="107"/>
      <c r="D69" s="41"/>
      <c r="E69" s="119"/>
      <c r="F69" s="120"/>
      <c r="G69" s="40"/>
      <c r="H69" s="71"/>
      <c r="I69" s="71"/>
      <c r="J69" s="96"/>
      <c r="K69" s="97"/>
      <c r="L69" s="71"/>
      <c r="M69" s="71"/>
      <c r="N69" s="96"/>
      <c r="O69" s="84"/>
      <c r="P69" s="85"/>
      <c r="Q69" s="104"/>
      <c r="R69" s="104"/>
      <c r="S69" s="86"/>
      <c r="T69" s="87"/>
      <c r="U69" s="87"/>
      <c r="V69" s="88"/>
      <c r="W69" s="22"/>
      <c r="X69" s="23"/>
      <c r="Y69" s="23"/>
      <c r="Z69" s="23"/>
      <c r="AA69" s="23"/>
      <c r="AB69" s="23"/>
      <c r="AC69" s="23"/>
      <c r="AD69" s="23"/>
      <c r="AE69" s="23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11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</row>
    <row r="70" spans="1:74" ht="12" customHeight="1" outlineLevel="1">
      <c r="A70" s="40">
        <v>57</v>
      </c>
      <c r="B70" s="41"/>
      <c r="C70" s="107"/>
      <c r="D70" s="41"/>
      <c r="E70" s="119"/>
      <c r="F70" s="120"/>
      <c r="G70" s="40"/>
      <c r="H70" s="71"/>
      <c r="I70" s="71"/>
      <c r="J70" s="96"/>
      <c r="K70" s="97"/>
      <c r="L70" s="71"/>
      <c r="M70" s="71"/>
      <c r="N70" s="96"/>
      <c r="O70" s="84"/>
      <c r="P70" s="85"/>
      <c r="Q70" s="104"/>
      <c r="R70" s="104"/>
      <c r="S70" s="86"/>
      <c r="T70" s="87"/>
      <c r="U70" s="87"/>
      <c r="V70" s="88"/>
      <c r="W70" s="22"/>
      <c r="X70" s="23"/>
      <c r="Y70" s="23"/>
      <c r="Z70" s="23"/>
      <c r="AA70" s="23"/>
      <c r="AB70" s="23"/>
      <c r="AC70" s="23"/>
      <c r="AD70" s="23"/>
      <c r="AE70" s="23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11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</row>
    <row r="71" spans="1:74" ht="12" customHeight="1" outlineLevel="1">
      <c r="A71" s="40">
        <v>58</v>
      </c>
      <c r="B71" s="41"/>
      <c r="C71" s="107"/>
      <c r="D71" s="41"/>
      <c r="E71" s="119"/>
      <c r="F71" s="120"/>
      <c r="G71" s="40"/>
      <c r="H71" s="71"/>
      <c r="I71" s="71"/>
      <c r="J71" s="96"/>
      <c r="K71" s="97"/>
      <c r="L71" s="71"/>
      <c r="M71" s="71"/>
      <c r="N71" s="96"/>
      <c r="O71" s="84"/>
      <c r="P71" s="85"/>
      <c r="Q71" s="104"/>
      <c r="R71" s="104"/>
      <c r="S71" s="86"/>
      <c r="T71" s="87"/>
      <c r="U71" s="87"/>
      <c r="V71" s="88"/>
      <c r="W71" s="22"/>
      <c r="X71" s="23"/>
      <c r="Y71" s="23"/>
      <c r="Z71" s="23"/>
      <c r="AA71" s="23"/>
      <c r="AB71" s="23"/>
      <c r="AC71" s="23"/>
      <c r="AD71" s="23"/>
      <c r="AE71" s="23"/>
      <c r="AF71" s="23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11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</row>
    <row r="72" spans="1:74" ht="12" customHeight="1" outlineLevel="1">
      <c r="A72" s="40">
        <v>59</v>
      </c>
      <c r="B72" s="41"/>
      <c r="C72" s="107"/>
      <c r="D72" s="41"/>
      <c r="E72" s="119"/>
      <c r="F72" s="120"/>
      <c r="G72" s="40"/>
      <c r="H72" s="71"/>
      <c r="I72" s="71"/>
      <c r="J72" s="96"/>
      <c r="K72" s="97"/>
      <c r="L72" s="71"/>
      <c r="M72" s="71"/>
      <c r="N72" s="96"/>
      <c r="O72" s="84"/>
      <c r="P72" s="85"/>
      <c r="Q72" s="104"/>
      <c r="R72" s="104"/>
      <c r="S72" s="86"/>
      <c r="T72" s="87"/>
      <c r="U72" s="87"/>
      <c r="V72" s="88"/>
      <c r="W72" s="22"/>
      <c r="X72" s="23"/>
      <c r="Y72" s="23"/>
      <c r="Z72" s="23"/>
      <c r="AA72" s="23"/>
      <c r="AB72" s="23"/>
      <c r="AC72" s="23"/>
      <c r="AD72" s="23"/>
      <c r="AE72" s="23"/>
      <c r="AF72" s="23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11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</row>
    <row r="73" spans="1:74" ht="12" customHeight="1" outlineLevel="1">
      <c r="A73" s="40">
        <v>60</v>
      </c>
      <c r="B73" s="41"/>
      <c r="C73" s="107"/>
      <c r="D73" s="41"/>
      <c r="E73" s="119"/>
      <c r="F73" s="120"/>
      <c r="G73" s="40"/>
      <c r="H73" s="71"/>
      <c r="I73" s="71"/>
      <c r="J73" s="96"/>
      <c r="K73" s="97"/>
      <c r="L73" s="71"/>
      <c r="M73" s="71"/>
      <c r="N73" s="96"/>
      <c r="O73" s="84"/>
      <c r="P73" s="85"/>
      <c r="Q73" s="104"/>
      <c r="R73" s="104"/>
      <c r="S73" s="86"/>
      <c r="T73" s="87"/>
      <c r="U73" s="87"/>
      <c r="V73" s="88"/>
      <c r="W73" s="22"/>
      <c r="X73" s="23"/>
      <c r="Y73" s="23"/>
      <c r="Z73" s="23"/>
      <c r="AA73" s="23"/>
      <c r="AB73" s="23"/>
      <c r="AC73" s="23"/>
      <c r="AD73" s="23"/>
      <c r="AE73" s="23"/>
      <c r="AF73" s="23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11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</row>
    <row r="74" spans="1:74" ht="12" customHeight="1" outlineLevel="1">
      <c r="A74" s="40">
        <v>61</v>
      </c>
      <c r="B74" s="41"/>
      <c r="C74" s="107"/>
      <c r="D74" s="41"/>
      <c r="E74" s="119"/>
      <c r="F74" s="119"/>
      <c r="G74" s="40"/>
      <c r="H74" s="71"/>
      <c r="I74" s="71"/>
      <c r="J74" s="96"/>
      <c r="K74" s="97"/>
      <c r="L74" s="71"/>
      <c r="M74" s="71"/>
      <c r="N74" s="96"/>
      <c r="O74" s="84"/>
      <c r="P74" s="85"/>
      <c r="Q74" s="104"/>
      <c r="R74" s="104"/>
      <c r="S74" s="86"/>
      <c r="T74" s="87"/>
      <c r="U74" s="87"/>
      <c r="V74" s="88"/>
      <c r="W74" s="22"/>
      <c r="X74" s="23"/>
      <c r="Y74" s="23"/>
      <c r="Z74" s="23"/>
      <c r="AA74" s="23"/>
      <c r="AB74" s="23"/>
      <c r="AC74" s="23"/>
      <c r="AD74" s="23"/>
      <c r="AE74" s="23"/>
      <c r="AF74" s="23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11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</row>
    <row r="75" spans="1:74" ht="12" customHeight="1" outlineLevel="1">
      <c r="A75" s="40">
        <v>62</v>
      </c>
      <c r="B75" s="41"/>
      <c r="C75" s="107"/>
      <c r="D75" s="41"/>
      <c r="E75" s="119"/>
      <c r="F75" s="119"/>
      <c r="G75" s="40"/>
      <c r="H75" s="71"/>
      <c r="I75" s="71"/>
      <c r="J75" s="96"/>
      <c r="K75" s="97"/>
      <c r="L75" s="71"/>
      <c r="M75" s="71"/>
      <c r="N75" s="96"/>
      <c r="O75" s="84"/>
      <c r="P75" s="85"/>
      <c r="Q75" s="104"/>
      <c r="R75" s="104"/>
      <c r="S75" s="86"/>
      <c r="T75" s="87"/>
      <c r="U75" s="87"/>
      <c r="V75" s="88"/>
      <c r="W75" s="22"/>
      <c r="X75" s="23"/>
      <c r="Y75" s="23"/>
      <c r="Z75" s="23"/>
      <c r="AA75" s="23"/>
      <c r="AB75" s="23"/>
      <c r="AC75" s="23"/>
      <c r="AD75" s="23"/>
      <c r="AE75" s="23"/>
      <c r="AF75" s="23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11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</row>
    <row r="76" spans="1:74" ht="12" customHeight="1" outlineLevel="1">
      <c r="A76" s="40">
        <v>63</v>
      </c>
      <c r="B76" s="41"/>
      <c r="C76" s="107"/>
      <c r="D76" s="41"/>
      <c r="E76" s="119"/>
      <c r="F76" s="119"/>
      <c r="G76" s="40"/>
      <c r="H76" s="71"/>
      <c r="I76" s="71"/>
      <c r="J76" s="96"/>
      <c r="K76" s="97"/>
      <c r="L76" s="71"/>
      <c r="M76" s="71"/>
      <c r="N76" s="96"/>
      <c r="O76" s="84"/>
      <c r="P76" s="85"/>
      <c r="Q76" s="104"/>
      <c r="R76" s="104"/>
      <c r="S76" s="86"/>
      <c r="T76" s="87"/>
      <c r="U76" s="87"/>
      <c r="V76" s="88"/>
      <c r="W76" s="22"/>
      <c r="X76" s="23"/>
      <c r="Y76" s="23"/>
      <c r="Z76" s="23"/>
      <c r="AA76" s="23"/>
      <c r="AB76" s="23"/>
      <c r="AC76" s="23"/>
      <c r="AD76" s="23"/>
      <c r="AE76" s="23"/>
      <c r="AF76" s="23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11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</row>
    <row r="77" spans="1:74" ht="12" customHeight="1" outlineLevel="1">
      <c r="A77" s="40">
        <v>64</v>
      </c>
      <c r="B77" s="41"/>
      <c r="C77" s="107"/>
      <c r="D77" s="41"/>
      <c r="E77" s="119"/>
      <c r="F77" s="119"/>
      <c r="G77" s="40"/>
      <c r="H77" s="71"/>
      <c r="I77" s="71"/>
      <c r="J77" s="96"/>
      <c r="K77" s="97"/>
      <c r="L77" s="71"/>
      <c r="M77" s="71"/>
      <c r="N77" s="96"/>
      <c r="O77" s="84"/>
      <c r="P77" s="85"/>
      <c r="Q77" s="104"/>
      <c r="R77" s="104"/>
      <c r="S77" s="86"/>
      <c r="T77" s="87"/>
      <c r="U77" s="87"/>
      <c r="V77" s="88"/>
      <c r="W77" s="22"/>
      <c r="X77" s="23"/>
      <c r="Y77" s="23"/>
      <c r="Z77" s="23"/>
      <c r="AA77" s="23"/>
      <c r="AB77" s="23"/>
      <c r="AC77" s="23"/>
      <c r="AD77" s="23"/>
      <c r="AE77" s="23"/>
      <c r="AF77" s="23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11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</row>
    <row r="78" spans="1:74" ht="12" customHeight="1" outlineLevel="1">
      <c r="A78" s="40">
        <v>65</v>
      </c>
      <c r="B78" s="41"/>
      <c r="C78" s="107"/>
      <c r="D78" s="41"/>
      <c r="E78" s="119"/>
      <c r="F78" s="119"/>
      <c r="G78" s="40"/>
      <c r="H78" s="71"/>
      <c r="I78" s="71"/>
      <c r="J78" s="96"/>
      <c r="K78" s="97"/>
      <c r="L78" s="71"/>
      <c r="M78" s="71"/>
      <c r="N78" s="96"/>
      <c r="O78" s="84"/>
      <c r="P78" s="85"/>
      <c r="Q78" s="104"/>
      <c r="R78" s="104"/>
      <c r="S78" s="86"/>
      <c r="T78" s="87"/>
      <c r="U78" s="87"/>
      <c r="V78" s="88"/>
      <c r="W78" s="22"/>
      <c r="X78" s="23"/>
      <c r="Y78" s="23"/>
      <c r="Z78" s="23"/>
      <c r="AA78" s="23"/>
      <c r="AB78" s="23"/>
      <c r="AC78" s="23"/>
      <c r="AD78" s="23"/>
      <c r="AE78" s="23"/>
      <c r="AF78" s="23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11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</row>
    <row r="79" spans="1:74" ht="12" customHeight="1" outlineLevel="1">
      <c r="A79" s="40">
        <v>66</v>
      </c>
      <c r="B79" s="41"/>
      <c r="C79" s="107"/>
      <c r="D79" s="41"/>
      <c r="E79" s="119"/>
      <c r="F79" s="119"/>
      <c r="G79" s="40"/>
      <c r="H79" s="71"/>
      <c r="I79" s="71"/>
      <c r="J79" s="96"/>
      <c r="K79" s="97"/>
      <c r="L79" s="71"/>
      <c r="M79" s="71"/>
      <c r="N79" s="96"/>
      <c r="O79" s="84"/>
      <c r="P79" s="85"/>
      <c r="Q79" s="104"/>
      <c r="R79" s="104"/>
      <c r="S79" s="86"/>
      <c r="T79" s="87"/>
      <c r="U79" s="87"/>
      <c r="V79" s="88"/>
      <c r="W79" s="22"/>
      <c r="X79" s="23"/>
      <c r="Y79" s="23"/>
      <c r="Z79" s="23"/>
      <c r="AA79" s="23"/>
      <c r="AB79" s="23"/>
      <c r="AC79" s="23"/>
      <c r="AD79" s="23"/>
      <c r="AE79" s="23"/>
      <c r="AF79" s="23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11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</row>
    <row r="80" spans="1:74" ht="12" customHeight="1" outlineLevel="1">
      <c r="A80" s="40">
        <v>67</v>
      </c>
      <c r="B80" s="41"/>
      <c r="C80" s="107"/>
      <c r="D80" s="41"/>
      <c r="E80" s="119"/>
      <c r="F80" s="119"/>
      <c r="G80" s="40"/>
      <c r="H80" s="71"/>
      <c r="I80" s="71"/>
      <c r="J80" s="96"/>
      <c r="K80" s="97"/>
      <c r="L80" s="71"/>
      <c r="M80" s="71"/>
      <c r="N80" s="96"/>
      <c r="O80" s="84"/>
      <c r="P80" s="85"/>
      <c r="Q80" s="104"/>
      <c r="R80" s="104"/>
      <c r="S80" s="86"/>
      <c r="T80" s="87"/>
      <c r="U80" s="87"/>
      <c r="V80" s="88"/>
      <c r="W80" s="22"/>
      <c r="X80" s="23"/>
      <c r="Y80" s="23"/>
      <c r="Z80" s="23"/>
      <c r="AA80" s="23"/>
      <c r="AB80" s="23"/>
      <c r="AC80" s="23"/>
      <c r="AD80" s="23"/>
      <c r="AE80" s="23"/>
      <c r="AF80" s="23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11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</row>
    <row r="81" spans="1:74" ht="12" customHeight="1" outlineLevel="1">
      <c r="A81" s="40">
        <v>68</v>
      </c>
      <c r="B81" s="41"/>
      <c r="C81" s="107"/>
      <c r="D81" s="41"/>
      <c r="E81" s="119"/>
      <c r="F81" s="119"/>
      <c r="G81" s="40"/>
      <c r="H81" s="71"/>
      <c r="I81" s="71"/>
      <c r="J81" s="96"/>
      <c r="K81" s="97"/>
      <c r="L81" s="71"/>
      <c r="M81" s="71"/>
      <c r="N81" s="96"/>
      <c r="O81" s="84"/>
      <c r="P81" s="85"/>
      <c r="Q81" s="104"/>
      <c r="R81" s="104"/>
      <c r="S81" s="86"/>
      <c r="T81" s="87"/>
      <c r="U81" s="87"/>
      <c r="V81" s="88"/>
      <c r="W81" s="22"/>
      <c r="X81" s="23"/>
      <c r="Y81" s="23"/>
      <c r="Z81" s="23"/>
      <c r="AA81" s="23"/>
      <c r="AB81" s="23"/>
      <c r="AC81" s="23"/>
      <c r="AD81" s="23"/>
      <c r="AE81" s="23"/>
      <c r="AF81" s="23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11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</row>
    <row r="82" spans="1:74" ht="12" customHeight="1" outlineLevel="1">
      <c r="A82" s="40">
        <v>69</v>
      </c>
      <c r="B82" s="41"/>
      <c r="C82" s="107"/>
      <c r="D82" s="41"/>
      <c r="E82" s="119"/>
      <c r="F82" s="119"/>
      <c r="G82" s="40"/>
      <c r="H82" s="71"/>
      <c r="I82" s="71"/>
      <c r="J82" s="96"/>
      <c r="K82" s="97"/>
      <c r="L82" s="71"/>
      <c r="M82" s="71"/>
      <c r="N82" s="96"/>
      <c r="O82" s="84"/>
      <c r="P82" s="85"/>
      <c r="Q82" s="104"/>
      <c r="R82" s="104"/>
      <c r="S82" s="86"/>
      <c r="T82" s="87"/>
      <c r="U82" s="87"/>
      <c r="V82" s="88"/>
      <c r="W82" s="22"/>
      <c r="X82" s="23"/>
      <c r="Y82" s="23"/>
      <c r="Z82" s="23"/>
      <c r="AA82" s="23"/>
      <c r="AB82" s="23"/>
      <c r="AC82" s="23"/>
      <c r="AD82" s="23"/>
      <c r="AE82" s="23"/>
      <c r="AF82" s="23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11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</row>
    <row r="83" spans="1:74" ht="12" customHeight="1" outlineLevel="1">
      <c r="A83" s="40">
        <v>70</v>
      </c>
      <c r="B83" s="41"/>
      <c r="C83" s="107"/>
      <c r="D83" s="41"/>
      <c r="E83" s="119"/>
      <c r="F83" s="119"/>
      <c r="G83" s="40"/>
      <c r="H83" s="71"/>
      <c r="I83" s="71"/>
      <c r="J83" s="96"/>
      <c r="K83" s="97"/>
      <c r="L83" s="71"/>
      <c r="M83" s="71"/>
      <c r="N83" s="96"/>
      <c r="O83" s="84"/>
      <c r="P83" s="85"/>
      <c r="Q83" s="104"/>
      <c r="R83" s="104"/>
      <c r="S83" s="86"/>
      <c r="T83" s="87"/>
      <c r="U83" s="87"/>
      <c r="V83" s="88"/>
      <c r="W83" s="22"/>
      <c r="X83" s="23"/>
      <c r="Y83" s="23"/>
      <c r="Z83" s="23"/>
      <c r="AA83" s="23"/>
      <c r="AB83" s="23"/>
      <c r="AC83" s="23"/>
      <c r="AD83" s="23"/>
      <c r="AE83" s="23"/>
      <c r="AF83" s="23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11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</row>
    <row r="84" spans="1:74" ht="23.25" customHeight="1" outlineLevel="1">
      <c r="A84" s="40">
        <v>71</v>
      </c>
      <c r="B84" s="41"/>
      <c r="C84" s="107"/>
      <c r="D84" s="41"/>
      <c r="E84" s="119"/>
      <c r="F84" s="115"/>
      <c r="G84" s="40"/>
      <c r="H84" s="71"/>
      <c r="I84" s="71"/>
      <c r="J84" s="96"/>
      <c r="K84" s="97"/>
      <c r="L84" s="71"/>
      <c r="M84" s="71"/>
      <c r="N84" s="83"/>
      <c r="O84" s="84"/>
      <c r="P84" s="85"/>
      <c r="Q84" s="104"/>
      <c r="R84" s="104"/>
      <c r="S84" s="86"/>
      <c r="T84" s="87"/>
      <c r="U84" s="87"/>
      <c r="V84" s="88"/>
      <c r="W84" s="22"/>
      <c r="X84" s="23"/>
      <c r="Y84" s="23"/>
      <c r="Z84" s="23"/>
      <c r="AA84" s="23"/>
      <c r="AB84" s="23"/>
      <c r="AC84" s="23"/>
      <c r="AD84" s="23"/>
      <c r="AE84" s="23"/>
      <c r="AF84" s="23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11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</row>
    <row r="85" spans="1:74" ht="12" customHeight="1" outlineLevel="1">
      <c r="A85" s="40">
        <v>72</v>
      </c>
      <c r="B85" s="41"/>
      <c r="C85" s="107"/>
      <c r="D85" s="41"/>
      <c r="E85" s="119"/>
      <c r="F85" s="115"/>
      <c r="G85" s="40"/>
      <c r="H85" s="71"/>
      <c r="I85" s="71"/>
      <c r="J85" s="96"/>
      <c r="K85" s="97"/>
      <c r="L85" s="71"/>
      <c r="M85" s="71"/>
      <c r="N85" s="83"/>
      <c r="O85" s="84"/>
      <c r="P85" s="85"/>
      <c r="Q85" s="104"/>
      <c r="R85" s="104"/>
      <c r="S85" s="86"/>
      <c r="T85" s="87"/>
      <c r="U85" s="87"/>
      <c r="V85" s="88"/>
      <c r="W85" s="22"/>
      <c r="X85" s="23"/>
      <c r="Y85" s="23"/>
      <c r="Z85" s="23"/>
      <c r="AA85" s="23"/>
      <c r="AB85" s="23"/>
      <c r="AC85" s="23"/>
      <c r="AD85" s="23"/>
      <c r="AE85" s="23"/>
      <c r="AF85" s="23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11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</row>
    <row r="86" spans="1:74" ht="12" customHeight="1" outlineLevel="1">
      <c r="A86" s="40">
        <v>73</v>
      </c>
      <c r="B86" s="41"/>
      <c r="C86" s="107"/>
      <c r="D86" s="41"/>
      <c r="E86" s="119"/>
      <c r="F86" s="115"/>
      <c r="G86" s="40"/>
      <c r="H86" s="71"/>
      <c r="I86" s="71"/>
      <c r="J86" s="96"/>
      <c r="K86" s="97"/>
      <c r="L86" s="71"/>
      <c r="M86" s="71"/>
      <c r="N86" s="83"/>
      <c r="O86" s="84"/>
      <c r="P86" s="85"/>
      <c r="Q86" s="104"/>
      <c r="R86" s="104"/>
      <c r="S86" s="86"/>
      <c r="T86" s="87"/>
      <c r="U86" s="87"/>
      <c r="V86" s="88"/>
      <c r="W86" s="22"/>
      <c r="X86" s="23"/>
      <c r="Y86" s="23"/>
      <c r="Z86" s="23"/>
      <c r="AA86" s="23"/>
      <c r="AB86" s="23"/>
      <c r="AC86" s="23"/>
      <c r="AD86" s="23"/>
      <c r="AE86" s="23"/>
      <c r="AF86" s="23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11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</row>
    <row r="87" spans="1:74" ht="12" customHeight="1" outlineLevel="1">
      <c r="A87" s="40">
        <v>74</v>
      </c>
      <c r="B87" s="41"/>
      <c r="C87" s="107"/>
      <c r="D87" s="41"/>
      <c r="E87" s="119"/>
      <c r="F87" s="115"/>
      <c r="G87" s="40"/>
      <c r="H87" s="71"/>
      <c r="I87" s="71"/>
      <c r="J87" s="96"/>
      <c r="K87" s="97"/>
      <c r="L87" s="71"/>
      <c r="M87" s="71"/>
      <c r="N87" s="83"/>
      <c r="O87" s="84"/>
      <c r="P87" s="85"/>
      <c r="Q87" s="104"/>
      <c r="R87" s="104"/>
      <c r="S87" s="86"/>
      <c r="T87" s="87"/>
      <c r="U87" s="87"/>
      <c r="V87" s="88"/>
      <c r="W87" s="22"/>
      <c r="X87" s="23"/>
      <c r="Y87" s="23"/>
      <c r="Z87" s="23"/>
      <c r="AA87" s="23"/>
      <c r="AB87" s="23"/>
      <c r="AC87" s="23"/>
      <c r="AD87" s="23"/>
      <c r="AE87" s="23"/>
      <c r="AF87" s="23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11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</row>
    <row r="88" spans="1:74" ht="12" customHeight="1" outlineLevel="1">
      <c r="A88" s="40">
        <v>75</v>
      </c>
      <c r="B88" s="41"/>
      <c r="C88" s="107"/>
      <c r="D88" s="41"/>
      <c r="E88" s="119"/>
      <c r="F88" s="115"/>
      <c r="G88" s="40"/>
      <c r="H88" s="71"/>
      <c r="I88" s="71"/>
      <c r="J88" s="96"/>
      <c r="K88" s="97"/>
      <c r="L88" s="71"/>
      <c r="M88" s="71"/>
      <c r="N88" s="83"/>
      <c r="O88" s="84"/>
      <c r="P88" s="85"/>
      <c r="Q88" s="104"/>
      <c r="R88" s="104"/>
      <c r="S88" s="86"/>
      <c r="T88" s="87"/>
      <c r="U88" s="87"/>
      <c r="V88" s="88"/>
      <c r="W88" s="22"/>
      <c r="X88" s="23"/>
      <c r="Y88" s="23"/>
      <c r="Z88" s="23"/>
      <c r="AA88" s="23"/>
      <c r="AB88" s="23"/>
      <c r="AC88" s="23"/>
      <c r="AD88" s="23"/>
      <c r="AE88" s="23"/>
      <c r="AF88" s="23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11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</row>
    <row r="89" spans="1:74" ht="12" customHeight="1" outlineLevel="1">
      <c r="A89" s="40">
        <v>76</v>
      </c>
      <c r="B89" s="41"/>
      <c r="C89" s="107"/>
      <c r="D89" s="41"/>
      <c r="E89" s="119"/>
      <c r="F89" s="115"/>
      <c r="G89" s="40"/>
      <c r="H89" s="71"/>
      <c r="I89" s="71"/>
      <c r="J89" s="96"/>
      <c r="K89" s="97"/>
      <c r="L89" s="71"/>
      <c r="M89" s="71"/>
      <c r="N89" s="83"/>
      <c r="O89" s="84"/>
      <c r="P89" s="85"/>
      <c r="Q89" s="104"/>
      <c r="R89" s="104"/>
      <c r="S89" s="86"/>
      <c r="T89" s="87"/>
      <c r="U89" s="87"/>
      <c r="V89" s="88"/>
      <c r="W89" s="22"/>
      <c r="X89" s="23"/>
      <c r="Y89" s="23"/>
      <c r="Z89" s="23"/>
      <c r="AA89" s="23"/>
      <c r="AB89" s="23"/>
      <c r="AC89" s="23"/>
      <c r="AD89" s="23"/>
      <c r="AE89" s="23"/>
      <c r="AF89" s="23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11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</row>
    <row r="90" spans="1:74" ht="12" customHeight="1" outlineLevel="1">
      <c r="A90" s="40"/>
      <c r="B90" s="41"/>
      <c r="C90" s="107"/>
      <c r="D90" s="41"/>
      <c r="E90" s="119"/>
      <c r="F90" s="115"/>
      <c r="G90" s="40"/>
      <c r="H90" s="71"/>
      <c r="I90" s="71"/>
      <c r="J90" s="96"/>
      <c r="K90" s="97"/>
      <c r="L90" s="71"/>
      <c r="M90" s="71"/>
      <c r="N90" s="83"/>
      <c r="O90" s="84"/>
      <c r="P90" s="85"/>
      <c r="Q90" s="104"/>
      <c r="R90" s="104"/>
      <c r="S90" s="86"/>
      <c r="T90" s="87"/>
      <c r="U90" s="87"/>
      <c r="V90" s="88"/>
      <c r="W90" s="22"/>
      <c r="X90" s="23"/>
      <c r="Y90" s="23"/>
      <c r="Z90" s="23"/>
      <c r="AA90" s="23"/>
      <c r="AB90" s="23"/>
      <c r="AC90" s="23"/>
      <c r="AD90" s="23"/>
      <c r="AE90" s="23"/>
      <c r="AF90" s="23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11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</row>
    <row r="91" spans="1:74" ht="12" customHeight="1" outlineLevel="1">
      <c r="A91" s="40"/>
      <c r="B91" s="41"/>
      <c r="C91" s="107"/>
      <c r="D91" s="41"/>
      <c r="E91" s="119"/>
      <c r="F91" s="115"/>
      <c r="G91" s="40"/>
      <c r="H91" s="71"/>
      <c r="I91" s="71"/>
      <c r="J91" s="96"/>
      <c r="K91" s="97"/>
      <c r="L91" s="71"/>
      <c r="M91" s="71"/>
      <c r="N91" s="83"/>
      <c r="O91" s="84"/>
      <c r="P91" s="85"/>
      <c r="Q91" s="104"/>
      <c r="R91" s="104"/>
      <c r="S91" s="86"/>
      <c r="T91" s="87"/>
      <c r="U91" s="87"/>
      <c r="V91" s="88"/>
      <c r="W91" s="22"/>
      <c r="X91" s="23"/>
      <c r="Y91" s="23"/>
      <c r="Z91" s="23"/>
      <c r="AA91" s="23"/>
      <c r="AB91" s="23"/>
      <c r="AC91" s="23"/>
      <c r="AD91" s="23"/>
      <c r="AE91" s="23"/>
      <c r="AF91" s="23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11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</row>
    <row r="92" spans="1:74" ht="12" customHeight="1" outlineLevel="1">
      <c r="A92" s="40"/>
      <c r="B92" s="41"/>
      <c r="C92" s="107"/>
      <c r="D92" s="41"/>
      <c r="E92" s="119"/>
      <c r="F92" s="115"/>
      <c r="G92" s="40"/>
      <c r="H92" s="71"/>
      <c r="I92" s="71"/>
      <c r="J92" s="96"/>
      <c r="K92" s="97"/>
      <c r="L92" s="71"/>
      <c r="M92" s="71"/>
      <c r="N92" s="83"/>
      <c r="O92" s="84"/>
      <c r="P92" s="85"/>
      <c r="Q92" s="104"/>
      <c r="R92" s="104"/>
      <c r="S92" s="86"/>
      <c r="T92" s="87"/>
      <c r="U92" s="87"/>
      <c r="V92" s="88"/>
      <c r="W92" s="22"/>
      <c r="X92" s="23"/>
      <c r="Y92" s="23"/>
      <c r="Z92" s="23"/>
      <c r="AA92" s="23"/>
      <c r="AB92" s="23"/>
      <c r="AC92" s="23"/>
      <c r="AD92" s="23"/>
      <c r="AE92" s="23"/>
      <c r="AF92" s="23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11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</row>
    <row r="93" spans="1:74" ht="12" customHeight="1" outlineLevel="1">
      <c r="A93" s="40"/>
      <c r="B93" s="41"/>
      <c r="C93" s="107"/>
      <c r="D93" s="41"/>
      <c r="E93" s="119"/>
      <c r="F93" s="115"/>
      <c r="G93" s="40"/>
      <c r="H93" s="71"/>
      <c r="I93" s="71"/>
      <c r="J93" s="96"/>
      <c r="K93" s="97"/>
      <c r="L93" s="71"/>
      <c r="M93" s="71"/>
      <c r="N93" s="83"/>
      <c r="O93" s="84"/>
      <c r="P93" s="85"/>
      <c r="Q93" s="104"/>
      <c r="R93" s="104"/>
      <c r="S93" s="86"/>
      <c r="T93" s="87"/>
      <c r="U93" s="87"/>
      <c r="V93" s="88"/>
      <c r="W93" s="22"/>
      <c r="X93" s="23"/>
      <c r="Y93" s="23"/>
      <c r="Z93" s="23"/>
      <c r="AA93" s="23"/>
      <c r="AB93" s="23"/>
      <c r="AC93" s="23"/>
      <c r="AD93" s="23"/>
      <c r="AE93" s="23"/>
      <c r="AF93" s="23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11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</row>
    <row r="94" spans="1:74" ht="12" customHeight="1" outlineLevel="1">
      <c r="A94" s="40"/>
      <c r="B94" s="41"/>
      <c r="C94" s="107"/>
      <c r="D94" s="41"/>
      <c r="E94" s="119"/>
      <c r="F94" s="115"/>
      <c r="G94" s="40"/>
      <c r="H94" s="71"/>
      <c r="I94" s="71"/>
      <c r="J94" s="96"/>
      <c r="K94" s="97"/>
      <c r="L94" s="71"/>
      <c r="M94" s="71"/>
      <c r="N94" s="83"/>
      <c r="O94" s="84"/>
      <c r="P94" s="85"/>
      <c r="Q94" s="104"/>
      <c r="R94" s="104"/>
      <c r="S94" s="86"/>
      <c r="T94" s="87"/>
      <c r="U94" s="87"/>
      <c r="V94" s="88"/>
      <c r="W94" s="22"/>
      <c r="X94" s="23"/>
      <c r="Y94" s="23"/>
      <c r="Z94" s="23"/>
      <c r="AA94" s="23"/>
      <c r="AB94" s="23"/>
      <c r="AC94" s="23"/>
      <c r="AD94" s="23"/>
      <c r="AE94" s="23"/>
      <c r="AF94" s="23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11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</row>
    <row r="95" spans="1:74" ht="12" customHeight="1" outlineLevel="1">
      <c r="A95" s="40"/>
      <c r="B95" s="41"/>
      <c r="C95" s="107"/>
      <c r="D95" s="41"/>
      <c r="E95" s="119"/>
      <c r="F95" s="115"/>
      <c r="G95" s="40"/>
      <c r="H95" s="71"/>
      <c r="I95" s="71"/>
      <c r="J95" s="96"/>
      <c r="K95" s="97"/>
      <c r="L95" s="71"/>
      <c r="M95" s="71"/>
      <c r="N95" s="83"/>
      <c r="O95" s="84"/>
      <c r="P95" s="85"/>
      <c r="Q95" s="104"/>
      <c r="R95" s="104"/>
      <c r="S95" s="86"/>
      <c r="T95" s="87"/>
      <c r="U95" s="87"/>
      <c r="V95" s="88"/>
      <c r="W95" s="22"/>
      <c r="X95" s="23"/>
      <c r="Y95" s="23"/>
      <c r="Z95" s="23"/>
      <c r="AA95" s="23"/>
      <c r="AB95" s="23"/>
      <c r="AC95" s="23"/>
      <c r="AD95" s="23"/>
      <c r="AE95" s="23"/>
      <c r="AF95" s="23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11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</row>
    <row r="96" spans="1:74" ht="12" customHeight="1" outlineLevel="1">
      <c r="A96" s="40"/>
      <c r="B96" s="41"/>
      <c r="C96" s="107"/>
      <c r="D96" s="41"/>
      <c r="E96" s="119"/>
      <c r="F96" s="115"/>
      <c r="G96" s="40"/>
      <c r="H96" s="71"/>
      <c r="I96" s="71"/>
      <c r="J96" s="96"/>
      <c r="K96" s="97"/>
      <c r="L96" s="71"/>
      <c r="M96" s="71"/>
      <c r="N96" s="83"/>
      <c r="O96" s="84"/>
      <c r="P96" s="85"/>
      <c r="Q96" s="104"/>
      <c r="R96" s="104"/>
      <c r="S96" s="86"/>
      <c r="T96" s="87"/>
      <c r="U96" s="87"/>
      <c r="V96" s="88"/>
      <c r="W96" s="22"/>
      <c r="X96" s="23"/>
      <c r="Y96" s="23"/>
      <c r="Z96" s="23"/>
      <c r="AA96" s="23"/>
      <c r="AB96" s="23"/>
      <c r="AC96" s="23"/>
      <c r="AD96" s="23"/>
      <c r="AE96" s="23"/>
      <c r="AF96" s="23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11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</row>
    <row r="97" spans="1:74" ht="12" customHeight="1" outlineLevel="1">
      <c r="A97" s="40"/>
      <c r="B97" s="41"/>
      <c r="C97" s="107"/>
      <c r="D97" s="41"/>
      <c r="E97" s="119"/>
      <c r="F97" s="115"/>
      <c r="G97" s="40"/>
      <c r="H97" s="71"/>
      <c r="I97" s="71"/>
      <c r="J97" s="96"/>
      <c r="K97" s="97"/>
      <c r="L97" s="71"/>
      <c r="M97" s="71"/>
      <c r="N97" s="83"/>
      <c r="O97" s="84"/>
      <c r="P97" s="85"/>
      <c r="Q97" s="104"/>
      <c r="R97" s="104"/>
      <c r="S97" s="86"/>
      <c r="T97" s="87"/>
      <c r="U97" s="87"/>
      <c r="V97" s="88"/>
      <c r="W97" s="22"/>
      <c r="X97" s="23"/>
      <c r="Y97" s="23"/>
      <c r="Z97" s="23"/>
      <c r="AA97" s="23"/>
      <c r="AB97" s="23"/>
      <c r="AC97" s="23"/>
      <c r="AD97" s="23"/>
      <c r="AE97" s="23"/>
      <c r="AF97" s="23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11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</row>
    <row r="98" spans="1:74" ht="12" customHeight="1" outlineLevel="1">
      <c r="A98" s="40"/>
      <c r="B98" s="41"/>
      <c r="C98" s="107"/>
      <c r="D98" s="41"/>
      <c r="E98" s="119"/>
      <c r="F98" s="115"/>
      <c r="G98" s="40"/>
      <c r="H98" s="71"/>
      <c r="I98" s="71"/>
      <c r="J98" s="96"/>
      <c r="K98" s="97"/>
      <c r="L98" s="71"/>
      <c r="M98" s="71"/>
      <c r="N98" s="83"/>
      <c r="O98" s="84"/>
      <c r="P98" s="85"/>
      <c r="Q98" s="104"/>
      <c r="R98" s="104"/>
      <c r="S98" s="86"/>
      <c r="T98" s="87"/>
      <c r="U98" s="87"/>
      <c r="V98" s="88"/>
      <c r="W98" s="22"/>
      <c r="X98" s="23"/>
      <c r="Y98" s="23"/>
      <c r="Z98" s="23"/>
      <c r="AA98" s="23"/>
      <c r="AB98" s="23"/>
      <c r="AC98" s="23"/>
      <c r="AD98" s="23"/>
      <c r="AE98" s="23"/>
      <c r="AF98" s="23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11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</row>
    <row r="99" spans="1:74" ht="12" customHeight="1" outlineLevel="1">
      <c r="A99" s="40"/>
      <c r="B99" s="41"/>
      <c r="C99" s="107"/>
      <c r="D99" s="41"/>
      <c r="E99" s="119"/>
      <c r="F99" s="115"/>
      <c r="G99" s="40"/>
      <c r="H99" s="71"/>
      <c r="I99" s="71"/>
      <c r="J99" s="96"/>
      <c r="K99" s="97"/>
      <c r="L99" s="71"/>
      <c r="M99" s="71"/>
      <c r="N99" s="83"/>
      <c r="O99" s="84"/>
      <c r="P99" s="85"/>
      <c r="Q99" s="104"/>
      <c r="R99" s="104"/>
      <c r="S99" s="86"/>
      <c r="T99" s="87"/>
      <c r="U99" s="87"/>
      <c r="V99" s="88"/>
      <c r="W99" s="22"/>
      <c r="X99" s="23"/>
      <c r="Y99" s="23"/>
      <c r="Z99" s="23"/>
      <c r="AA99" s="23"/>
      <c r="AB99" s="23"/>
      <c r="AC99" s="23"/>
      <c r="AD99" s="23"/>
      <c r="AE99" s="23"/>
      <c r="AF99" s="23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11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</row>
    <row r="100" spans="1:74" ht="12" customHeight="1" outlineLevel="1">
      <c r="A100" s="40"/>
      <c r="B100" s="41"/>
      <c r="C100" s="107"/>
      <c r="D100" s="41"/>
      <c r="E100" s="119"/>
      <c r="F100" s="115"/>
      <c r="G100" s="40"/>
      <c r="H100" s="71"/>
      <c r="I100" s="71"/>
      <c r="J100" s="96"/>
      <c r="K100" s="97"/>
      <c r="L100" s="71"/>
      <c r="M100" s="71"/>
      <c r="N100" s="83"/>
      <c r="O100" s="84"/>
      <c r="P100" s="85"/>
      <c r="Q100" s="104"/>
      <c r="R100" s="104"/>
      <c r="S100" s="86"/>
      <c r="T100" s="87"/>
      <c r="U100" s="87"/>
      <c r="V100" s="88"/>
      <c r="W100" s="22"/>
      <c r="X100" s="23"/>
      <c r="Y100" s="23"/>
      <c r="Z100" s="23"/>
      <c r="AA100" s="23"/>
      <c r="AB100" s="23"/>
      <c r="AC100" s="23"/>
      <c r="AD100" s="23"/>
      <c r="AE100" s="23"/>
      <c r="AF100" s="23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11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</row>
    <row r="101" spans="1:74" ht="12" customHeight="1" outlineLevel="1">
      <c r="A101" s="40"/>
      <c r="B101" s="41"/>
      <c r="C101" s="107"/>
      <c r="D101" s="41"/>
      <c r="E101" s="119"/>
      <c r="F101" s="115"/>
      <c r="G101" s="40"/>
      <c r="H101" s="71"/>
      <c r="I101" s="71"/>
      <c r="J101" s="96"/>
      <c r="K101" s="97"/>
      <c r="L101" s="71"/>
      <c r="M101" s="71"/>
      <c r="N101" s="83"/>
      <c r="O101" s="84"/>
      <c r="P101" s="85"/>
      <c r="Q101" s="104"/>
      <c r="R101" s="104"/>
      <c r="S101" s="86"/>
      <c r="T101" s="87"/>
      <c r="U101" s="87"/>
      <c r="V101" s="88"/>
      <c r="W101" s="22"/>
      <c r="X101" s="23"/>
      <c r="Y101" s="23"/>
      <c r="Z101" s="23"/>
      <c r="AA101" s="23"/>
      <c r="AB101" s="23"/>
      <c r="AC101" s="23"/>
      <c r="AD101" s="23"/>
      <c r="AE101" s="23"/>
      <c r="AF101" s="23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11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</row>
    <row r="102" spans="1:74" ht="12" customHeight="1" outlineLevel="1">
      <c r="A102" s="40"/>
      <c r="B102" s="41"/>
      <c r="C102" s="107"/>
      <c r="D102" s="41"/>
      <c r="E102" s="119"/>
      <c r="F102" s="115"/>
      <c r="G102" s="40"/>
      <c r="H102" s="71"/>
      <c r="I102" s="71"/>
      <c r="J102" s="96"/>
      <c r="K102" s="97"/>
      <c r="L102" s="71"/>
      <c r="M102" s="71"/>
      <c r="N102" s="83"/>
      <c r="O102" s="84"/>
      <c r="P102" s="85"/>
      <c r="Q102" s="104"/>
      <c r="R102" s="104"/>
      <c r="S102" s="86"/>
      <c r="T102" s="87"/>
      <c r="U102" s="87"/>
      <c r="V102" s="88"/>
      <c r="W102" s="22"/>
      <c r="X102" s="23"/>
      <c r="Y102" s="23"/>
      <c r="Z102" s="23"/>
      <c r="AA102" s="23"/>
      <c r="AB102" s="23"/>
      <c r="AC102" s="23"/>
      <c r="AD102" s="23"/>
      <c r="AE102" s="23"/>
      <c r="AF102" s="23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11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</row>
    <row r="103" spans="1:74" ht="12" customHeight="1" outlineLevel="1">
      <c r="A103" s="40"/>
      <c r="B103" s="41"/>
      <c r="C103" s="107"/>
      <c r="D103" s="41"/>
      <c r="E103" s="119"/>
      <c r="F103" s="115"/>
      <c r="G103" s="40"/>
      <c r="H103" s="71"/>
      <c r="I103" s="71"/>
      <c r="J103" s="96"/>
      <c r="K103" s="97"/>
      <c r="L103" s="71"/>
      <c r="M103" s="71"/>
      <c r="N103" s="83"/>
      <c r="O103" s="84"/>
      <c r="P103" s="85"/>
      <c r="Q103" s="104"/>
      <c r="R103" s="104"/>
      <c r="S103" s="86"/>
      <c r="T103" s="87"/>
      <c r="U103" s="87"/>
      <c r="V103" s="88"/>
      <c r="W103" s="22"/>
      <c r="X103" s="23"/>
      <c r="Y103" s="23"/>
      <c r="Z103" s="23"/>
      <c r="AA103" s="23"/>
      <c r="AB103" s="23"/>
      <c r="AC103" s="23"/>
      <c r="AD103" s="23"/>
      <c r="AE103" s="23"/>
      <c r="AF103" s="23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11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</row>
    <row r="104" spans="1:74" ht="12" customHeight="1" outlineLevel="1">
      <c r="A104" s="40"/>
      <c r="B104" s="41"/>
      <c r="C104" s="107"/>
      <c r="D104" s="41"/>
      <c r="E104" s="119"/>
      <c r="F104" s="115"/>
      <c r="G104" s="40"/>
      <c r="H104" s="71"/>
      <c r="I104" s="71"/>
      <c r="J104" s="96"/>
      <c r="K104" s="97"/>
      <c r="L104" s="71"/>
      <c r="M104" s="71"/>
      <c r="N104" s="83"/>
      <c r="O104" s="84"/>
      <c r="P104" s="85"/>
      <c r="Q104" s="104"/>
      <c r="R104" s="104"/>
      <c r="S104" s="86"/>
      <c r="T104" s="87"/>
      <c r="U104" s="87"/>
      <c r="V104" s="88"/>
      <c r="W104" s="22"/>
      <c r="X104" s="23"/>
      <c r="Y104" s="23"/>
      <c r="Z104" s="23"/>
      <c r="AA104" s="23"/>
      <c r="AB104" s="23"/>
      <c r="AC104" s="23"/>
      <c r="AD104" s="23"/>
      <c r="AE104" s="23"/>
      <c r="AF104" s="23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11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</row>
    <row r="105" spans="1:74" ht="12" customHeight="1" outlineLevel="1">
      <c r="A105" s="40"/>
      <c r="B105" s="41"/>
      <c r="C105" s="107"/>
      <c r="D105" s="41"/>
      <c r="E105" s="119"/>
      <c r="F105" s="115"/>
      <c r="G105" s="40"/>
      <c r="H105" s="71"/>
      <c r="I105" s="71"/>
      <c r="J105" s="96"/>
      <c r="K105" s="97"/>
      <c r="L105" s="71"/>
      <c r="M105" s="71"/>
      <c r="N105" s="83"/>
      <c r="O105" s="84"/>
      <c r="P105" s="85"/>
      <c r="Q105" s="104"/>
      <c r="R105" s="104"/>
      <c r="S105" s="86"/>
      <c r="T105" s="87"/>
      <c r="U105" s="87"/>
      <c r="V105" s="88"/>
      <c r="W105" s="22"/>
      <c r="X105" s="23"/>
      <c r="Y105" s="23"/>
      <c r="Z105" s="23"/>
      <c r="AA105" s="23"/>
      <c r="AB105" s="23"/>
      <c r="AC105" s="23"/>
      <c r="AD105" s="23"/>
      <c r="AE105" s="23"/>
      <c r="AF105" s="23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11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</row>
    <row r="106" spans="1:74" ht="12" customHeight="1" outlineLevel="1">
      <c r="A106" s="40"/>
      <c r="B106" s="41"/>
      <c r="C106" s="107"/>
      <c r="D106" s="41"/>
      <c r="E106" s="119"/>
      <c r="F106" s="115"/>
      <c r="G106" s="40"/>
      <c r="H106" s="71"/>
      <c r="I106" s="71"/>
      <c r="J106" s="96"/>
      <c r="K106" s="97"/>
      <c r="L106" s="71"/>
      <c r="M106" s="71"/>
      <c r="N106" s="83"/>
      <c r="O106" s="84"/>
      <c r="P106" s="85"/>
      <c r="Q106" s="104"/>
      <c r="R106" s="104"/>
      <c r="S106" s="86"/>
      <c r="T106" s="87"/>
      <c r="U106" s="87"/>
      <c r="V106" s="88"/>
      <c r="W106" s="22"/>
      <c r="X106" s="23"/>
      <c r="Y106" s="23"/>
      <c r="Z106" s="23"/>
      <c r="AA106" s="23"/>
      <c r="AB106" s="23"/>
      <c r="AC106" s="23"/>
      <c r="AD106" s="23"/>
      <c r="AE106" s="23"/>
      <c r="AF106" s="23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11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</row>
    <row r="107" spans="1:74" ht="12" customHeight="1" outlineLevel="1">
      <c r="A107" s="40"/>
      <c r="B107" s="41"/>
      <c r="C107" s="107"/>
      <c r="D107" s="41"/>
      <c r="E107" s="119"/>
      <c r="F107" s="115"/>
      <c r="G107" s="40"/>
      <c r="H107" s="71"/>
      <c r="I107" s="71"/>
      <c r="J107" s="96"/>
      <c r="K107" s="97"/>
      <c r="L107" s="71"/>
      <c r="M107" s="71"/>
      <c r="N107" s="83"/>
      <c r="O107" s="84"/>
      <c r="P107" s="85"/>
      <c r="Q107" s="104"/>
      <c r="R107" s="104"/>
      <c r="S107" s="86"/>
      <c r="T107" s="87"/>
      <c r="U107" s="87"/>
      <c r="V107" s="88"/>
      <c r="W107" s="22"/>
      <c r="X107" s="23"/>
      <c r="Y107" s="23"/>
      <c r="Z107" s="23"/>
      <c r="AA107" s="23"/>
      <c r="AB107" s="23"/>
      <c r="AC107" s="23"/>
      <c r="AD107" s="23"/>
      <c r="AE107" s="23"/>
      <c r="AF107" s="23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11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</row>
    <row r="108" spans="1:74" ht="12" customHeight="1" outlineLevel="1">
      <c r="A108" s="40"/>
      <c r="B108" s="41"/>
      <c r="C108" s="107"/>
      <c r="D108" s="41"/>
      <c r="E108" s="119"/>
      <c r="F108" s="115"/>
      <c r="G108" s="40"/>
      <c r="H108" s="71"/>
      <c r="I108" s="71"/>
      <c r="J108" s="96"/>
      <c r="K108" s="97"/>
      <c r="L108" s="71"/>
      <c r="M108" s="71"/>
      <c r="N108" s="83"/>
      <c r="O108" s="84"/>
      <c r="P108" s="85"/>
      <c r="Q108" s="104"/>
      <c r="R108" s="104"/>
      <c r="S108" s="86"/>
      <c r="T108" s="87"/>
      <c r="U108" s="87"/>
      <c r="V108" s="88"/>
      <c r="W108" s="22"/>
      <c r="X108" s="23"/>
      <c r="Y108" s="23"/>
      <c r="Z108" s="23"/>
      <c r="AA108" s="23"/>
      <c r="AB108" s="23"/>
      <c r="AC108" s="23"/>
      <c r="AD108" s="23"/>
      <c r="AE108" s="23"/>
      <c r="AF108" s="23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11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</row>
    <row r="109" spans="1:74" ht="12" customHeight="1" outlineLevel="1">
      <c r="A109" s="40"/>
      <c r="B109" s="41"/>
      <c r="C109" s="107"/>
      <c r="D109" s="41"/>
      <c r="E109" s="119"/>
      <c r="F109" s="115"/>
      <c r="G109" s="40"/>
      <c r="H109" s="71"/>
      <c r="I109" s="71"/>
      <c r="J109" s="96"/>
      <c r="K109" s="97"/>
      <c r="L109" s="71"/>
      <c r="M109" s="71"/>
      <c r="N109" s="83"/>
      <c r="O109" s="84"/>
      <c r="P109" s="85"/>
      <c r="Q109" s="104"/>
      <c r="R109" s="104"/>
      <c r="S109" s="86"/>
      <c r="T109" s="87"/>
      <c r="U109" s="87"/>
      <c r="V109" s="88"/>
      <c r="W109" s="22"/>
      <c r="X109" s="23"/>
      <c r="Y109" s="23"/>
      <c r="Z109" s="23"/>
      <c r="AA109" s="23"/>
      <c r="AB109" s="23"/>
      <c r="AC109" s="23"/>
      <c r="AD109" s="23"/>
      <c r="AE109" s="23"/>
      <c r="AF109" s="23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11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</row>
    <row r="110" spans="1:74" ht="12" customHeight="1" outlineLevel="1">
      <c r="A110" s="40"/>
      <c r="B110" s="41"/>
      <c r="C110" s="107"/>
      <c r="D110" s="41"/>
      <c r="E110" s="119"/>
      <c r="F110" s="115"/>
      <c r="G110" s="40"/>
      <c r="H110" s="71"/>
      <c r="I110" s="71"/>
      <c r="J110" s="96"/>
      <c r="K110" s="97"/>
      <c r="L110" s="71"/>
      <c r="M110" s="71"/>
      <c r="N110" s="83"/>
      <c r="O110" s="84"/>
      <c r="P110" s="85"/>
      <c r="Q110" s="104"/>
      <c r="R110" s="104"/>
      <c r="S110" s="86"/>
      <c r="T110" s="87"/>
      <c r="U110" s="87"/>
      <c r="V110" s="88"/>
      <c r="W110" s="22"/>
      <c r="X110" s="23"/>
      <c r="Y110" s="23"/>
      <c r="Z110" s="23"/>
      <c r="AA110" s="23"/>
      <c r="AB110" s="23"/>
      <c r="AC110" s="23"/>
      <c r="AD110" s="23"/>
      <c r="AE110" s="23"/>
      <c r="AF110" s="23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11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</row>
    <row r="111" spans="1:74" ht="12" customHeight="1" outlineLevel="1">
      <c r="A111" s="40"/>
      <c r="B111" s="41"/>
      <c r="C111" s="107"/>
      <c r="D111" s="41"/>
      <c r="E111" s="119"/>
      <c r="F111" s="115"/>
      <c r="G111" s="40"/>
      <c r="H111" s="71"/>
      <c r="I111" s="71"/>
      <c r="J111" s="96"/>
      <c r="K111" s="97"/>
      <c r="L111" s="71"/>
      <c r="M111" s="71"/>
      <c r="N111" s="83"/>
      <c r="O111" s="84"/>
      <c r="P111" s="85"/>
      <c r="Q111" s="104"/>
      <c r="R111" s="104"/>
      <c r="S111" s="86"/>
      <c r="T111" s="87"/>
      <c r="U111" s="87"/>
      <c r="V111" s="88"/>
      <c r="W111" s="22"/>
      <c r="X111" s="23"/>
      <c r="Y111" s="23"/>
      <c r="Z111" s="23"/>
      <c r="AA111" s="23"/>
      <c r="AB111" s="23"/>
      <c r="AC111" s="23"/>
      <c r="AD111" s="23"/>
      <c r="AE111" s="23"/>
      <c r="AF111" s="23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11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</row>
    <row r="112" spans="1:74" ht="12" customHeight="1" outlineLevel="1">
      <c r="A112" s="40"/>
      <c r="B112" s="41"/>
      <c r="C112" s="107"/>
      <c r="D112" s="41"/>
      <c r="E112" s="119"/>
      <c r="F112" s="115"/>
      <c r="G112" s="40"/>
      <c r="H112" s="71"/>
      <c r="I112" s="71"/>
      <c r="J112" s="96"/>
      <c r="K112" s="97"/>
      <c r="L112" s="71"/>
      <c r="M112" s="71"/>
      <c r="N112" s="83"/>
      <c r="O112" s="84"/>
      <c r="P112" s="85"/>
      <c r="Q112" s="104"/>
      <c r="R112" s="104"/>
      <c r="S112" s="86"/>
      <c r="T112" s="87"/>
      <c r="U112" s="87"/>
      <c r="V112" s="88"/>
      <c r="W112" s="22"/>
      <c r="X112" s="23"/>
      <c r="Y112" s="23"/>
      <c r="Z112" s="23"/>
      <c r="AA112" s="23"/>
      <c r="AB112" s="23"/>
      <c r="AC112" s="23"/>
      <c r="AD112" s="23"/>
      <c r="AE112" s="23"/>
      <c r="AF112" s="23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11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</row>
    <row r="113" spans="1:74" ht="12" customHeight="1" outlineLevel="1">
      <c r="A113" s="40"/>
      <c r="B113" s="41"/>
      <c r="C113" s="107"/>
      <c r="D113" s="41"/>
      <c r="E113" s="119"/>
      <c r="F113" s="115"/>
      <c r="G113" s="40"/>
      <c r="H113" s="71"/>
      <c r="I113" s="71"/>
      <c r="J113" s="96"/>
      <c r="K113" s="97"/>
      <c r="L113" s="71"/>
      <c r="M113" s="71"/>
      <c r="N113" s="83"/>
      <c r="O113" s="84"/>
      <c r="P113" s="85"/>
      <c r="Q113" s="104"/>
      <c r="R113" s="104"/>
      <c r="S113" s="86"/>
      <c r="T113" s="87"/>
      <c r="U113" s="87"/>
      <c r="V113" s="88"/>
      <c r="W113" s="22"/>
      <c r="X113" s="23"/>
      <c r="Y113" s="23"/>
      <c r="Z113" s="23"/>
      <c r="AA113" s="23"/>
      <c r="AB113" s="23"/>
      <c r="AC113" s="23"/>
      <c r="AD113" s="23"/>
      <c r="AE113" s="23"/>
      <c r="AF113" s="23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11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</row>
    <row r="114" spans="1:74" ht="12" customHeight="1" outlineLevel="1">
      <c r="A114" s="40"/>
      <c r="B114" s="41"/>
      <c r="C114" s="107"/>
      <c r="D114" s="41"/>
      <c r="E114" s="119"/>
      <c r="F114" s="115"/>
      <c r="G114" s="40"/>
      <c r="H114" s="71"/>
      <c r="I114" s="71"/>
      <c r="J114" s="96"/>
      <c r="K114" s="97"/>
      <c r="L114" s="71"/>
      <c r="M114" s="71"/>
      <c r="N114" s="83"/>
      <c r="O114" s="84"/>
      <c r="P114" s="85"/>
      <c r="Q114" s="104"/>
      <c r="R114" s="104"/>
      <c r="S114" s="86"/>
      <c r="T114" s="87"/>
      <c r="U114" s="87"/>
      <c r="V114" s="88"/>
      <c r="W114" s="22"/>
      <c r="X114" s="23"/>
      <c r="Y114" s="23"/>
      <c r="Z114" s="23"/>
      <c r="AA114" s="23"/>
      <c r="AB114" s="23"/>
      <c r="AC114" s="23"/>
      <c r="AD114" s="23"/>
      <c r="AE114" s="23"/>
      <c r="AF114" s="23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11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</row>
    <row r="115" spans="1:74" ht="12" customHeight="1" outlineLevel="1">
      <c r="A115" s="40"/>
      <c r="B115" s="41"/>
      <c r="C115" s="107"/>
      <c r="D115" s="41"/>
      <c r="E115" s="119"/>
      <c r="F115" s="115"/>
      <c r="G115" s="40"/>
      <c r="H115" s="71"/>
      <c r="I115" s="71"/>
      <c r="J115" s="96"/>
      <c r="K115" s="97"/>
      <c r="L115" s="71"/>
      <c r="M115" s="71"/>
      <c r="N115" s="83"/>
      <c r="O115" s="84"/>
      <c r="P115" s="85"/>
      <c r="Q115" s="104"/>
      <c r="R115" s="104"/>
      <c r="S115" s="86"/>
      <c r="T115" s="87"/>
      <c r="U115" s="87"/>
      <c r="V115" s="88"/>
      <c r="W115" s="22"/>
      <c r="X115" s="23"/>
      <c r="Y115" s="23"/>
      <c r="Z115" s="23"/>
      <c r="AA115" s="23"/>
      <c r="AB115" s="23"/>
      <c r="AC115" s="23"/>
      <c r="AD115" s="23"/>
      <c r="AE115" s="23"/>
      <c r="AF115" s="23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11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</row>
    <row r="116" spans="1:74" ht="12" customHeight="1" outlineLevel="1">
      <c r="A116" s="40"/>
      <c r="B116" s="41"/>
      <c r="C116" s="107"/>
      <c r="D116" s="41"/>
      <c r="E116" s="119"/>
      <c r="F116" s="115"/>
      <c r="G116" s="40"/>
      <c r="H116" s="71"/>
      <c r="I116" s="71"/>
      <c r="J116" s="96"/>
      <c r="K116" s="97"/>
      <c r="L116" s="71"/>
      <c r="M116" s="71"/>
      <c r="N116" s="83"/>
      <c r="O116" s="84"/>
      <c r="P116" s="85"/>
      <c r="Q116" s="104"/>
      <c r="R116" s="104"/>
      <c r="S116" s="86"/>
      <c r="T116" s="87"/>
      <c r="U116" s="87"/>
      <c r="V116" s="88"/>
      <c r="W116" s="22"/>
      <c r="X116" s="23"/>
      <c r="Y116" s="23"/>
      <c r="Z116" s="23"/>
      <c r="AA116" s="23"/>
      <c r="AB116" s="23"/>
      <c r="AC116" s="23"/>
      <c r="AD116" s="23"/>
      <c r="AE116" s="23"/>
      <c r="AF116" s="23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11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</row>
    <row r="117" spans="1:74" ht="12" customHeight="1" outlineLevel="1">
      <c r="A117" s="40"/>
      <c r="B117" s="41"/>
      <c r="C117" s="107"/>
      <c r="D117" s="41"/>
      <c r="E117" s="119"/>
      <c r="F117" s="115"/>
      <c r="G117" s="40"/>
      <c r="H117" s="71"/>
      <c r="I117" s="71"/>
      <c r="J117" s="96"/>
      <c r="K117" s="97"/>
      <c r="L117" s="71"/>
      <c r="M117" s="71"/>
      <c r="N117" s="83"/>
      <c r="O117" s="84"/>
      <c r="P117" s="85"/>
      <c r="Q117" s="104"/>
      <c r="R117" s="104"/>
      <c r="S117" s="86"/>
      <c r="T117" s="87"/>
      <c r="U117" s="87"/>
      <c r="V117" s="88"/>
      <c r="W117" s="22"/>
      <c r="X117" s="23"/>
      <c r="Y117" s="23"/>
      <c r="Z117" s="23"/>
      <c r="AA117" s="23"/>
      <c r="AB117" s="23"/>
      <c r="AC117" s="23"/>
      <c r="AD117" s="23"/>
      <c r="AE117" s="23"/>
      <c r="AF117" s="23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11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</row>
    <row r="118" spans="1:74" ht="12" customHeight="1" outlineLevel="1">
      <c r="A118" s="40"/>
      <c r="B118" s="41"/>
      <c r="C118" s="107"/>
      <c r="D118" s="41"/>
      <c r="E118" s="119"/>
      <c r="F118" s="115"/>
      <c r="G118" s="40"/>
      <c r="H118" s="71"/>
      <c r="I118" s="71"/>
      <c r="J118" s="96"/>
      <c r="K118" s="97"/>
      <c r="L118" s="71"/>
      <c r="M118" s="71"/>
      <c r="N118" s="83"/>
      <c r="O118" s="84"/>
      <c r="P118" s="85"/>
      <c r="Q118" s="104"/>
      <c r="R118" s="104"/>
      <c r="S118" s="86"/>
      <c r="T118" s="87"/>
      <c r="U118" s="87"/>
      <c r="V118" s="88"/>
      <c r="W118" s="22"/>
      <c r="X118" s="23"/>
      <c r="Y118" s="23"/>
      <c r="Z118" s="23"/>
      <c r="AA118" s="23"/>
      <c r="AB118" s="23"/>
      <c r="AC118" s="23"/>
      <c r="AD118" s="23"/>
      <c r="AE118" s="23"/>
      <c r="AF118" s="23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11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</row>
    <row r="119" spans="1:74" ht="12" customHeight="1" outlineLevel="1">
      <c r="A119" s="40"/>
      <c r="B119" s="41"/>
      <c r="C119" s="107"/>
      <c r="D119" s="41"/>
      <c r="E119" s="119"/>
      <c r="F119" s="115"/>
      <c r="G119" s="40"/>
      <c r="H119" s="71"/>
      <c r="I119" s="71"/>
      <c r="J119" s="96"/>
      <c r="K119" s="97"/>
      <c r="L119" s="71"/>
      <c r="M119" s="71"/>
      <c r="N119" s="83"/>
      <c r="O119" s="84"/>
      <c r="P119" s="85"/>
      <c r="Q119" s="104"/>
      <c r="R119" s="104"/>
      <c r="S119" s="86"/>
      <c r="T119" s="87"/>
      <c r="U119" s="87"/>
      <c r="V119" s="88"/>
      <c r="W119" s="22"/>
      <c r="X119" s="23"/>
      <c r="Y119" s="23"/>
      <c r="Z119" s="23"/>
      <c r="AA119" s="23"/>
      <c r="AB119" s="23"/>
      <c r="AC119" s="23"/>
      <c r="AD119" s="23"/>
      <c r="AE119" s="23"/>
      <c r="AF119" s="23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11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</row>
    <row r="120" spans="1:74" ht="12" customHeight="1" outlineLevel="1">
      <c r="A120" s="40"/>
      <c r="B120" s="41"/>
      <c r="C120" s="107"/>
      <c r="D120" s="41"/>
      <c r="E120" s="119"/>
      <c r="F120" s="115"/>
      <c r="G120" s="40"/>
      <c r="H120" s="71"/>
      <c r="I120" s="71"/>
      <c r="J120" s="96"/>
      <c r="K120" s="97"/>
      <c r="L120" s="71"/>
      <c r="M120" s="71"/>
      <c r="N120" s="83"/>
      <c r="O120" s="84"/>
      <c r="P120" s="85"/>
      <c r="Q120" s="104"/>
      <c r="R120" s="104"/>
      <c r="S120" s="86"/>
      <c r="T120" s="87"/>
      <c r="U120" s="87"/>
      <c r="V120" s="88"/>
      <c r="W120" s="22"/>
      <c r="X120" s="23"/>
      <c r="Y120" s="23"/>
      <c r="Z120" s="23"/>
      <c r="AA120" s="23"/>
      <c r="AB120" s="23"/>
      <c r="AC120" s="23"/>
      <c r="AD120" s="23"/>
      <c r="AE120" s="23"/>
      <c r="AF120" s="23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11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</row>
    <row r="121" spans="1:74" ht="12" customHeight="1" outlineLevel="1">
      <c r="A121" s="40"/>
      <c r="B121" s="41"/>
      <c r="C121" s="107"/>
      <c r="D121" s="41"/>
      <c r="E121" s="119"/>
      <c r="F121" s="115"/>
      <c r="G121" s="40"/>
      <c r="H121" s="71"/>
      <c r="I121" s="71"/>
      <c r="J121" s="96"/>
      <c r="K121" s="97"/>
      <c r="L121" s="71"/>
      <c r="M121" s="71"/>
      <c r="N121" s="83"/>
      <c r="O121" s="84"/>
      <c r="P121" s="85"/>
      <c r="Q121" s="104"/>
      <c r="R121" s="104"/>
      <c r="S121" s="86"/>
      <c r="T121" s="87"/>
      <c r="U121" s="87"/>
      <c r="V121" s="88"/>
      <c r="W121" s="22"/>
      <c r="X121" s="23"/>
      <c r="Y121" s="23"/>
      <c r="Z121" s="23"/>
      <c r="AA121" s="23"/>
      <c r="AB121" s="23"/>
      <c r="AC121" s="23"/>
      <c r="AD121" s="23"/>
      <c r="AE121" s="23"/>
      <c r="AF121" s="23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11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</row>
    <row r="122" spans="1:74" ht="12" customHeight="1" outlineLevel="1">
      <c r="A122" s="40"/>
      <c r="B122" s="41"/>
      <c r="C122" s="107"/>
      <c r="D122" s="41"/>
      <c r="E122" s="119"/>
      <c r="F122" s="115"/>
      <c r="G122" s="40"/>
      <c r="H122" s="71"/>
      <c r="I122" s="71"/>
      <c r="J122" s="96"/>
      <c r="K122" s="97"/>
      <c r="L122" s="71"/>
      <c r="M122" s="71"/>
      <c r="N122" s="83"/>
      <c r="O122" s="84"/>
      <c r="P122" s="85"/>
      <c r="Q122" s="104"/>
      <c r="R122" s="104"/>
      <c r="S122" s="86"/>
      <c r="T122" s="87"/>
      <c r="U122" s="87"/>
      <c r="V122" s="88"/>
      <c r="W122" s="22"/>
      <c r="X122" s="23"/>
      <c r="Y122" s="23"/>
      <c r="Z122" s="23"/>
      <c r="AA122" s="23"/>
      <c r="AB122" s="23"/>
      <c r="AC122" s="23"/>
      <c r="AD122" s="23"/>
      <c r="AE122" s="23"/>
      <c r="AF122" s="23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11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</row>
    <row r="123" spans="1:74" ht="12" customHeight="1" outlineLevel="1">
      <c r="A123" s="40"/>
      <c r="B123" s="41"/>
      <c r="C123" s="107"/>
      <c r="D123" s="41"/>
      <c r="E123" s="119"/>
      <c r="F123" s="115"/>
      <c r="G123" s="40"/>
      <c r="H123" s="71"/>
      <c r="I123" s="71"/>
      <c r="J123" s="96"/>
      <c r="K123" s="97"/>
      <c r="L123" s="71"/>
      <c r="M123" s="71"/>
      <c r="N123" s="83"/>
      <c r="O123" s="84"/>
      <c r="P123" s="85"/>
      <c r="Q123" s="104"/>
      <c r="R123" s="104"/>
      <c r="S123" s="86"/>
      <c r="T123" s="87"/>
      <c r="U123" s="87"/>
      <c r="V123" s="88"/>
      <c r="W123" s="22"/>
      <c r="X123" s="23"/>
      <c r="Y123" s="23"/>
      <c r="Z123" s="23"/>
      <c r="AA123" s="23"/>
      <c r="AB123" s="23"/>
      <c r="AC123" s="23"/>
      <c r="AD123" s="23"/>
      <c r="AE123" s="23"/>
      <c r="AF123" s="23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11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</row>
    <row r="124" spans="1:74" ht="12" customHeight="1" outlineLevel="1">
      <c r="A124" s="40"/>
      <c r="B124" s="41"/>
      <c r="C124" s="107"/>
      <c r="D124" s="41"/>
      <c r="E124" s="119"/>
      <c r="F124" s="115"/>
      <c r="G124" s="40"/>
      <c r="H124" s="71"/>
      <c r="I124" s="71"/>
      <c r="J124" s="96"/>
      <c r="K124" s="97"/>
      <c r="L124" s="71"/>
      <c r="M124" s="71"/>
      <c r="N124" s="83"/>
      <c r="O124" s="84"/>
      <c r="P124" s="85"/>
      <c r="Q124" s="104"/>
      <c r="R124" s="104"/>
      <c r="S124" s="86"/>
      <c r="T124" s="87"/>
      <c r="U124" s="87"/>
      <c r="V124" s="88"/>
      <c r="W124" s="22"/>
      <c r="X124" s="23"/>
      <c r="Y124" s="23"/>
      <c r="Z124" s="23"/>
      <c r="AA124" s="23"/>
      <c r="AB124" s="23"/>
      <c r="AC124" s="23"/>
      <c r="AD124" s="23"/>
      <c r="AE124" s="23"/>
      <c r="AF124" s="23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11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</row>
    <row r="125" spans="1:74" ht="12" customHeight="1" outlineLevel="1">
      <c r="A125" s="40"/>
      <c r="B125" s="41"/>
      <c r="C125" s="107"/>
      <c r="D125" s="41"/>
      <c r="E125" s="119"/>
      <c r="F125" s="115"/>
      <c r="G125" s="40"/>
      <c r="H125" s="71"/>
      <c r="I125" s="71"/>
      <c r="J125" s="96"/>
      <c r="K125" s="97"/>
      <c r="L125" s="71"/>
      <c r="M125" s="71"/>
      <c r="N125" s="83"/>
      <c r="O125" s="84"/>
      <c r="P125" s="85"/>
      <c r="Q125" s="104"/>
      <c r="R125" s="104"/>
      <c r="S125" s="86"/>
      <c r="T125" s="87"/>
      <c r="U125" s="87"/>
      <c r="V125" s="88"/>
      <c r="W125" s="22"/>
      <c r="X125" s="23"/>
      <c r="Y125" s="23"/>
      <c r="Z125" s="23"/>
      <c r="AA125" s="23"/>
      <c r="AB125" s="23"/>
      <c r="AC125" s="23"/>
      <c r="AD125" s="23"/>
      <c r="AE125" s="23"/>
      <c r="AF125" s="23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11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</row>
    <row r="126" spans="1:74" ht="12" customHeight="1" outlineLevel="1">
      <c r="A126" s="40">
        <v>76</v>
      </c>
      <c r="B126" s="41" t="str">
        <f t="shared" ref="B126:B127" si="2">$A$3</f>
        <v>Training</v>
      </c>
      <c r="C126" s="107"/>
      <c r="D126" s="41"/>
      <c r="E126" s="119"/>
      <c r="F126" s="115"/>
      <c r="G126" s="40"/>
      <c r="H126" s="71"/>
      <c r="I126" s="71"/>
      <c r="J126" s="96"/>
      <c r="K126" s="97"/>
      <c r="L126" s="71"/>
      <c r="M126" s="71"/>
      <c r="N126" s="83"/>
      <c r="O126" s="84"/>
      <c r="P126" s="85"/>
      <c r="Q126" s="104"/>
      <c r="R126" s="104"/>
      <c r="S126" s="86"/>
      <c r="T126" s="87"/>
      <c r="U126" s="87"/>
      <c r="V126" s="88"/>
      <c r="W126" s="22"/>
      <c r="X126" s="23"/>
      <c r="Y126" s="23"/>
      <c r="Z126" s="23"/>
      <c r="AA126" s="23"/>
      <c r="AB126" s="23"/>
      <c r="AC126" s="23"/>
      <c r="AD126" s="23"/>
      <c r="AE126" s="23"/>
      <c r="AF126" s="23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11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</row>
    <row r="127" spans="1:74" ht="12" customHeight="1" outlineLevel="1">
      <c r="A127" s="40">
        <v>77</v>
      </c>
      <c r="B127" s="41" t="str">
        <f t="shared" si="2"/>
        <v>Training</v>
      </c>
      <c r="C127" s="107"/>
      <c r="D127" s="41"/>
      <c r="E127" s="119"/>
      <c r="F127" s="115"/>
      <c r="G127" s="40"/>
      <c r="H127" s="71"/>
      <c r="I127" s="71"/>
      <c r="J127" s="96"/>
      <c r="K127" s="97"/>
      <c r="L127" s="71"/>
      <c r="M127" s="71"/>
      <c r="N127" s="83"/>
      <c r="O127" s="84"/>
      <c r="P127" s="85"/>
      <c r="Q127" s="104"/>
      <c r="R127" s="104"/>
      <c r="S127" s="86"/>
      <c r="T127" s="87"/>
      <c r="U127" s="87"/>
      <c r="V127" s="88"/>
      <c r="W127" s="22"/>
      <c r="X127" s="23"/>
      <c r="Y127" s="23"/>
      <c r="Z127" s="23"/>
      <c r="AA127" s="23"/>
      <c r="AB127" s="23"/>
      <c r="AC127" s="23"/>
      <c r="AD127" s="23"/>
      <c r="AE127" s="23"/>
      <c r="AF127" s="23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11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</row>
    <row r="128" spans="1:74" ht="11.25" outlineLevel="1">
      <c r="A128" s="40">
        <v>70</v>
      </c>
      <c r="B128" s="41" t="str">
        <f>$A$3</f>
        <v>Training</v>
      </c>
      <c r="C128" s="111"/>
      <c r="D128" s="41"/>
      <c r="E128" s="119" t="s">
        <v>301</v>
      </c>
      <c r="F128" s="117" t="s">
        <v>290</v>
      </c>
      <c r="G128" s="40" t="s">
        <v>292</v>
      </c>
      <c r="H128" s="71">
        <v>43122</v>
      </c>
      <c r="I128" s="71">
        <v>43125</v>
      </c>
      <c r="J128" s="96">
        <v>32</v>
      </c>
      <c r="K128" s="97"/>
      <c r="L128" s="82"/>
      <c r="M128" s="82"/>
      <c r="N128" s="83"/>
      <c r="O128" s="84"/>
      <c r="P128" s="85"/>
      <c r="Q128" s="104"/>
      <c r="R128" s="104"/>
      <c r="S128" s="86"/>
      <c r="T128" s="87"/>
      <c r="U128" s="105"/>
      <c r="V128" s="112"/>
      <c r="W128" s="22"/>
      <c r="X128" s="23"/>
      <c r="Y128" s="23"/>
      <c r="Z128" s="23"/>
      <c r="AA128" s="23"/>
      <c r="AB128" s="23"/>
      <c r="AC128" s="23"/>
      <c r="AD128" s="23"/>
      <c r="AE128" s="23"/>
      <c r="AF128" s="23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</row>
    <row r="129" spans="1:74" ht="12" customHeight="1" outlineLevel="1">
      <c r="A129" s="40">
        <v>71</v>
      </c>
      <c r="B129" s="41" t="str">
        <f>$A$3</f>
        <v>Training</v>
      </c>
      <c r="C129" s="111"/>
      <c r="D129" s="41"/>
      <c r="E129" s="119"/>
      <c r="F129" s="117" t="s">
        <v>297</v>
      </c>
      <c r="G129" s="40" t="s">
        <v>32</v>
      </c>
      <c r="H129" s="71">
        <v>43115</v>
      </c>
      <c r="I129" s="71">
        <v>43125</v>
      </c>
      <c r="J129" s="96">
        <v>40</v>
      </c>
      <c r="K129" s="97"/>
      <c r="L129" s="82"/>
      <c r="M129" s="82"/>
      <c r="N129" s="83"/>
      <c r="O129" s="84"/>
      <c r="P129" s="85"/>
      <c r="Q129" s="104"/>
      <c r="R129" s="104"/>
      <c r="S129" s="86"/>
      <c r="T129" s="87"/>
      <c r="U129" s="87"/>
      <c r="V129" s="88"/>
      <c r="W129" s="22"/>
      <c r="X129" s="23"/>
      <c r="Y129" s="23"/>
      <c r="Z129" s="23"/>
      <c r="AA129" s="23"/>
      <c r="AB129" s="23"/>
      <c r="AC129" s="23"/>
      <c r="AD129" s="23"/>
      <c r="AE129" s="23"/>
      <c r="AF129" s="23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12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</row>
    <row r="130" spans="1:74" ht="12.75" customHeight="1">
      <c r="A130" s="72"/>
      <c r="B130" s="73"/>
      <c r="C130" s="73"/>
      <c r="D130" s="73"/>
      <c r="E130" s="73"/>
      <c r="F130" s="74"/>
      <c r="G130" s="74"/>
      <c r="H130" s="98"/>
      <c r="I130" s="98"/>
      <c r="J130" s="99"/>
      <c r="K130" s="98"/>
      <c r="L130" s="89"/>
      <c r="M130" s="89"/>
      <c r="N130" s="90"/>
      <c r="O130" s="91"/>
      <c r="P130" s="92"/>
      <c r="Q130" s="92"/>
      <c r="R130" s="92"/>
      <c r="S130" s="93"/>
      <c r="T130" s="94"/>
      <c r="U130" s="94"/>
      <c r="V130" s="95"/>
      <c r="W130" s="75"/>
      <c r="X130" s="76"/>
      <c r="Y130" s="76"/>
      <c r="Z130" s="76"/>
      <c r="AA130" s="76"/>
      <c r="AB130" s="76"/>
      <c r="AC130" s="76"/>
      <c r="AD130" s="76"/>
      <c r="AE130" s="76"/>
      <c r="AF130" s="76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77"/>
      <c r="BS130" s="77"/>
      <c r="BT130" s="77"/>
      <c r="BU130" s="77"/>
      <c r="BV130" s="77"/>
    </row>
    <row r="132" spans="1:74">
      <c r="G132" s="25" t="s">
        <v>288</v>
      </c>
      <c r="J132" s="29">
        <f>ROUND(SUM(J59:J130),1)</f>
        <v>72</v>
      </c>
    </row>
    <row r="133" spans="1:74">
      <c r="G133" s="25" t="s">
        <v>287</v>
      </c>
      <c r="J133" s="29">
        <f>ROUND(J132/7.3,1)</f>
        <v>9.9</v>
      </c>
    </row>
    <row r="134" spans="1:74">
      <c r="G134" s="25" t="s">
        <v>289</v>
      </c>
      <c r="J134" s="29">
        <f>ROUND(J133/20,1)</f>
        <v>0.5</v>
      </c>
    </row>
    <row r="1046256" spans="1:74">
      <c r="A1046256" s="27"/>
      <c r="B1046256" s="27"/>
      <c r="C1046256" s="27"/>
      <c r="D1046256" s="27"/>
      <c r="E1046256" s="27"/>
      <c r="G1046256" s="27"/>
      <c r="H1046256" s="27"/>
      <c r="I1046256" s="27"/>
      <c r="J1046256" s="28"/>
      <c r="K1046256" s="28"/>
      <c r="L1046256" s="36"/>
      <c r="M1046256" s="36"/>
      <c r="N1046256" s="27"/>
      <c r="O1046256" s="36"/>
      <c r="P1046256" s="32"/>
      <c r="Q1046256" s="32"/>
      <c r="R1046256" s="32"/>
      <c r="S1046256" s="34"/>
      <c r="T1046256" s="34"/>
      <c r="U1046256" s="34"/>
      <c r="V1046256" s="35"/>
      <c r="W1046256" s="15"/>
      <c r="X1046256" s="15"/>
      <c r="Y1046256" s="15"/>
      <c r="Z1046256" s="15"/>
      <c r="AA1046256" s="15"/>
      <c r="AB1046256" s="15"/>
      <c r="AC1046256" s="15"/>
      <c r="AD1046256" s="15"/>
      <c r="AE1046256" s="15"/>
      <c r="AF1046256" s="15"/>
      <c r="AG1046256" s="16"/>
      <c r="AH1046256" s="16"/>
      <c r="AI1046256" s="16"/>
      <c r="AJ1046256" s="16"/>
      <c r="AK1046256" s="16"/>
      <c r="AL1046256" s="16"/>
      <c r="AM1046256" s="16"/>
      <c r="AN1046256" s="16"/>
      <c r="AO1046256" s="16"/>
      <c r="AP1046256" s="16"/>
      <c r="AQ1046256" s="16"/>
      <c r="AR1046256" s="16"/>
      <c r="AS1046256" s="16"/>
      <c r="AT1046256" s="16"/>
      <c r="AU1046256" s="16"/>
      <c r="AV1046256" s="16"/>
      <c r="AW1046256" s="16"/>
      <c r="AX1046256" s="16"/>
      <c r="AY1046256" s="16"/>
      <c r="AZ1046256" s="16"/>
      <c r="BA1046256" s="16"/>
      <c r="BB1046256" s="16"/>
      <c r="BC1046256" s="16"/>
      <c r="BD1046256" s="16"/>
      <c r="BE1046256" s="16"/>
      <c r="BF1046256" s="16"/>
      <c r="BG1046256" s="16"/>
      <c r="BH1046256" s="16"/>
      <c r="BI1046256" s="16"/>
      <c r="BJ1046256" s="16"/>
      <c r="BK1046256" s="16"/>
      <c r="BL1046256" s="16"/>
      <c r="BM1046256" s="16"/>
      <c r="BN1046256" s="16"/>
      <c r="BO1046256" s="16"/>
      <c r="BP1046256" s="16"/>
      <c r="BQ1046256" s="16"/>
      <c r="BR1046256" s="16"/>
      <c r="BS1046256" s="16"/>
      <c r="BT1046256" s="16"/>
      <c r="BU1046256" s="16"/>
      <c r="BV1046256" s="16"/>
    </row>
    <row r="1046258" spans="1:74">
      <c r="A1046258" s="27"/>
      <c r="B1046258" s="27"/>
      <c r="C1046258" s="27"/>
      <c r="D1046258" s="27"/>
      <c r="E1046258" s="27"/>
      <c r="G1046258" s="27"/>
      <c r="H1046258" s="27"/>
      <c r="I1046258" s="27"/>
      <c r="J1046258" s="28"/>
      <c r="K1046258" s="28"/>
      <c r="L1046258" s="36"/>
      <c r="M1046258" s="36"/>
      <c r="N1046258" s="27"/>
      <c r="O1046258" s="36"/>
      <c r="P1046258" s="32"/>
      <c r="Q1046258" s="32"/>
      <c r="R1046258" s="32"/>
      <c r="S1046258" s="34"/>
      <c r="T1046258" s="34"/>
      <c r="U1046258" s="34"/>
      <c r="V1046258" s="35"/>
      <c r="W1046258" s="15"/>
      <c r="X1046258" s="15"/>
      <c r="Y1046258" s="15"/>
      <c r="Z1046258" s="15"/>
      <c r="AA1046258" s="15"/>
      <c r="AB1046258" s="15"/>
      <c r="AC1046258" s="15"/>
      <c r="AD1046258" s="15"/>
      <c r="AE1046258" s="15"/>
      <c r="AF1046258" s="15"/>
      <c r="AG1046258" s="16"/>
      <c r="AH1046258" s="16"/>
      <c r="AI1046258" s="16"/>
      <c r="AJ1046258" s="16"/>
      <c r="AK1046258" s="16"/>
      <c r="AL1046258" s="16"/>
      <c r="AM1046258" s="16"/>
      <c r="AN1046258" s="16"/>
      <c r="AO1046258" s="16"/>
      <c r="AP1046258" s="16"/>
      <c r="AQ1046258" s="16"/>
      <c r="AR1046258" s="16"/>
      <c r="AS1046258" s="16"/>
      <c r="AT1046258" s="16"/>
      <c r="AU1046258" s="16"/>
      <c r="AV1046258" s="16"/>
      <c r="AW1046258" s="16"/>
      <c r="AX1046258" s="16"/>
      <c r="AY1046258" s="16"/>
      <c r="AZ1046258" s="16"/>
      <c r="BA1046258" s="16"/>
      <c r="BB1046258" s="16"/>
      <c r="BC1046258" s="16"/>
      <c r="BD1046258" s="16"/>
      <c r="BE1046258" s="16"/>
      <c r="BF1046258" s="16"/>
      <c r="BG1046258" s="16"/>
      <c r="BH1046258" s="16"/>
      <c r="BI1046258" s="16"/>
      <c r="BJ1046258" s="16"/>
      <c r="BK1046258" s="16"/>
      <c r="BL1046258" s="16"/>
      <c r="BM1046258" s="16"/>
      <c r="BN1046258" s="16"/>
      <c r="BO1046258" s="16"/>
      <c r="BP1046258" s="16"/>
      <c r="BQ1046258" s="16"/>
      <c r="BR1046258" s="16"/>
      <c r="BS1046258" s="16"/>
      <c r="BT1046258" s="16"/>
      <c r="BU1046258" s="16"/>
      <c r="BV1046258" s="16"/>
    </row>
    <row r="1046268" spans="1:74">
      <c r="A1046268" s="27"/>
      <c r="B1046268" s="27"/>
      <c r="C1046268" s="27"/>
      <c r="D1046268" s="27"/>
      <c r="E1046268" s="27"/>
      <c r="G1046268" s="27"/>
      <c r="H1046268" s="27"/>
      <c r="I1046268" s="27"/>
      <c r="J1046268" s="28"/>
      <c r="K1046268" s="28"/>
      <c r="L1046268" s="36"/>
      <c r="M1046268" s="36"/>
      <c r="N1046268" s="27"/>
      <c r="O1046268" s="36"/>
      <c r="P1046268" s="32"/>
      <c r="Q1046268" s="32"/>
      <c r="R1046268" s="32"/>
      <c r="S1046268" s="34"/>
      <c r="T1046268" s="34"/>
      <c r="U1046268" s="34"/>
      <c r="V1046268" s="35"/>
      <c r="W1046268" s="15"/>
      <c r="X1046268" s="15"/>
      <c r="Y1046268" s="15"/>
      <c r="Z1046268" s="15"/>
      <c r="AA1046268" s="15"/>
      <c r="AB1046268" s="15"/>
      <c r="AC1046268" s="15"/>
      <c r="AD1046268" s="15"/>
      <c r="AE1046268" s="15"/>
      <c r="AF1046268" s="15"/>
      <c r="AG1046268" s="16"/>
      <c r="AH1046268" s="16"/>
      <c r="AI1046268" s="16"/>
      <c r="AJ1046268" s="16"/>
      <c r="AK1046268" s="16"/>
      <c r="AL1046268" s="16"/>
      <c r="AM1046268" s="16"/>
      <c r="AN1046268" s="16"/>
      <c r="AO1046268" s="16"/>
      <c r="AP1046268" s="16"/>
      <c r="AQ1046268" s="16"/>
      <c r="AR1046268" s="16"/>
      <c r="AS1046268" s="16"/>
      <c r="AT1046268" s="16"/>
      <c r="AU1046268" s="16"/>
      <c r="AV1046268" s="16"/>
      <c r="AW1046268" s="16"/>
      <c r="AX1046268" s="16"/>
      <c r="AY1046268" s="16"/>
      <c r="AZ1046268" s="16"/>
      <c r="BA1046268" s="16"/>
      <c r="BB1046268" s="16"/>
      <c r="BC1046268" s="16"/>
      <c r="BD1046268" s="16"/>
      <c r="BE1046268" s="16"/>
      <c r="BF1046268" s="16"/>
      <c r="BG1046268" s="16"/>
      <c r="BH1046268" s="16"/>
      <c r="BI1046268" s="16"/>
      <c r="BJ1046268" s="16"/>
      <c r="BK1046268" s="16"/>
      <c r="BL1046268" s="16"/>
      <c r="BM1046268" s="16"/>
      <c r="BN1046268" s="16"/>
      <c r="BO1046268" s="16"/>
      <c r="BP1046268" s="16"/>
      <c r="BQ1046268" s="16"/>
      <c r="BR1046268" s="16"/>
      <c r="BS1046268" s="16"/>
      <c r="BT1046268" s="16"/>
      <c r="BU1046268" s="16"/>
      <c r="BV1046268" s="16"/>
    </row>
    <row r="1046295" spans="1:74">
      <c r="A1046295" s="27"/>
      <c r="B1046295" s="27"/>
      <c r="C1046295" s="27"/>
      <c r="D1046295" s="27"/>
      <c r="E1046295" s="27"/>
      <c r="G1046295" s="27"/>
      <c r="H1046295" s="27"/>
      <c r="I1046295" s="27"/>
      <c r="J1046295" s="28"/>
      <c r="K1046295" s="28"/>
      <c r="L1046295" s="36"/>
      <c r="M1046295" s="36"/>
      <c r="N1046295" s="27"/>
      <c r="O1046295" s="36"/>
      <c r="P1046295" s="32"/>
      <c r="Q1046295" s="32"/>
      <c r="R1046295" s="32"/>
      <c r="S1046295" s="34"/>
      <c r="T1046295" s="34"/>
      <c r="U1046295" s="34"/>
      <c r="V1046295" s="35"/>
      <c r="W1046295" s="15"/>
      <c r="X1046295" s="15"/>
      <c r="Y1046295" s="15"/>
      <c r="Z1046295" s="15"/>
      <c r="AA1046295" s="15"/>
      <c r="AB1046295" s="15"/>
      <c r="AC1046295" s="15"/>
      <c r="AD1046295" s="15"/>
      <c r="AE1046295" s="15"/>
      <c r="AF1046295" s="15"/>
      <c r="AG1046295" s="16"/>
      <c r="AH1046295" s="16"/>
      <c r="AI1046295" s="16"/>
      <c r="AJ1046295" s="16"/>
      <c r="AK1046295" s="16"/>
      <c r="AL1046295" s="16"/>
      <c r="AM1046295" s="16"/>
      <c r="AN1046295" s="16"/>
      <c r="AO1046295" s="16"/>
      <c r="AP1046295" s="16"/>
      <c r="AQ1046295" s="16"/>
      <c r="AR1046295" s="16"/>
      <c r="AS1046295" s="16"/>
      <c r="AT1046295" s="16"/>
      <c r="AU1046295" s="16"/>
      <c r="AV1046295" s="16"/>
      <c r="AW1046295" s="16"/>
      <c r="AX1046295" s="16"/>
      <c r="AY1046295" s="16"/>
      <c r="AZ1046295" s="16"/>
      <c r="BA1046295" s="16"/>
      <c r="BB1046295" s="16"/>
      <c r="BC1046295" s="16"/>
      <c r="BD1046295" s="16"/>
      <c r="BE1046295" s="16"/>
      <c r="BF1046295" s="16"/>
      <c r="BG1046295" s="16"/>
      <c r="BH1046295" s="16"/>
      <c r="BI1046295" s="16"/>
      <c r="BJ1046295" s="16"/>
      <c r="BK1046295" s="16"/>
      <c r="BL1046295" s="16"/>
      <c r="BM1046295" s="16"/>
      <c r="BN1046295" s="16"/>
      <c r="BO1046295" s="16"/>
      <c r="BP1046295" s="16"/>
      <c r="BQ1046295" s="16"/>
      <c r="BR1046295" s="16"/>
      <c r="BS1046295" s="16"/>
      <c r="BT1046295" s="16"/>
      <c r="BU1046295" s="16"/>
      <c r="BV1046295" s="16"/>
    </row>
    <row r="1046298" spans="1:74">
      <c r="A1046298" s="27"/>
      <c r="B1046298" s="27"/>
      <c r="C1046298" s="27"/>
      <c r="D1046298" s="27"/>
      <c r="E1046298" s="27"/>
      <c r="G1046298" s="27"/>
      <c r="H1046298" s="27"/>
      <c r="I1046298" s="27"/>
      <c r="J1046298" s="28"/>
      <c r="K1046298" s="28"/>
      <c r="L1046298" s="36"/>
      <c r="M1046298" s="36"/>
      <c r="N1046298" s="27"/>
      <c r="O1046298" s="36"/>
      <c r="P1046298" s="32"/>
      <c r="Q1046298" s="32"/>
      <c r="R1046298" s="32"/>
      <c r="S1046298" s="34"/>
      <c r="T1046298" s="34"/>
      <c r="U1046298" s="34"/>
      <c r="V1046298" s="35"/>
      <c r="W1046298" s="15"/>
      <c r="X1046298" s="15"/>
      <c r="Y1046298" s="15"/>
      <c r="Z1046298" s="15"/>
      <c r="AA1046298" s="15"/>
      <c r="AB1046298" s="15"/>
      <c r="AC1046298" s="15"/>
      <c r="AD1046298" s="15"/>
      <c r="AE1046298" s="15"/>
      <c r="AF1046298" s="15"/>
      <c r="AG1046298" s="16"/>
      <c r="AH1046298" s="16"/>
      <c r="AI1046298" s="16"/>
      <c r="AJ1046298" s="16"/>
      <c r="AK1046298" s="16"/>
      <c r="AL1046298" s="16"/>
      <c r="AM1046298" s="16"/>
      <c r="AN1046298" s="16"/>
      <c r="AO1046298" s="16"/>
      <c r="AP1046298" s="16"/>
      <c r="AQ1046298" s="16"/>
      <c r="AR1046298" s="16"/>
      <c r="AS1046298" s="16"/>
      <c r="AT1046298" s="16"/>
      <c r="AU1046298" s="16"/>
      <c r="AV1046298" s="16"/>
      <c r="AW1046298" s="16"/>
      <c r="AX1046298" s="16"/>
      <c r="AY1046298" s="16"/>
      <c r="AZ1046298" s="16"/>
      <c r="BA1046298" s="16"/>
      <c r="BB1046298" s="16"/>
      <c r="BC1046298" s="16"/>
      <c r="BD1046298" s="16"/>
      <c r="BE1046298" s="16"/>
      <c r="BF1046298" s="16"/>
      <c r="BG1046298" s="16"/>
      <c r="BH1046298" s="16"/>
      <c r="BI1046298" s="16"/>
      <c r="BJ1046298" s="16"/>
      <c r="BK1046298" s="16"/>
      <c r="BL1046298" s="16"/>
      <c r="BM1046298" s="16"/>
      <c r="BN1046298" s="16"/>
      <c r="BO1046298" s="16"/>
      <c r="BP1046298" s="16"/>
      <c r="BQ1046298" s="16"/>
      <c r="BR1046298" s="16"/>
      <c r="BS1046298" s="16"/>
      <c r="BT1046298" s="16"/>
      <c r="BU1046298" s="16"/>
      <c r="BV1046298" s="16"/>
    </row>
    <row r="1046366" spans="1:74">
      <c r="A1046366" s="27"/>
      <c r="B1046366" s="27"/>
      <c r="C1046366" s="27"/>
      <c r="D1046366" s="27"/>
      <c r="E1046366" s="27"/>
      <c r="G1046366" s="27"/>
      <c r="H1046366" s="27"/>
      <c r="I1046366" s="27"/>
      <c r="J1046366" s="28"/>
      <c r="K1046366" s="28"/>
      <c r="L1046366" s="36"/>
      <c r="M1046366" s="36"/>
      <c r="N1046366" s="27"/>
      <c r="O1046366" s="36"/>
      <c r="P1046366" s="32"/>
      <c r="Q1046366" s="32"/>
      <c r="R1046366" s="32"/>
      <c r="S1046366" s="34"/>
      <c r="T1046366" s="34"/>
      <c r="U1046366" s="34"/>
      <c r="V1046366" s="35"/>
      <c r="W1046366" s="15"/>
      <c r="X1046366" s="15"/>
      <c r="Y1046366" s="15"/>
      <c r="Z1046366" s="15"/>
      <c r="AA1046366" s="15"/>
      <c r="AB1046366" s="15"/>
      <c r="AC1046366" s="15"/>
      <c r="AD1046366" s="15"/>
      <c r="AE1046366" s="15"/>
      <c r="AF1046366" s="15"/>
      <c r="AG1046366" s="16"/>
      <c r="AH1046366" s="16"/>
      <c r="AI1046366" s="16"/>
      <c r="AJ1046366" s="16"/>
      <c r="AK1046366" s="16"/>
      <c r="AL1046366" s="16"/>
      <c r="AM1046366" s="16"/>
      <c r="AN1046366" s="16"/>
      <c r="AO1046366" s="16"/>
      <c r="AP1046366" s="16"/>
      <c r="AQ1046366" s="16"/>
      <c r="AR1046366" s="16"/>
      <c r="AS1046366" s="16"/>
      <c r="AT1046366" s="16"/>
      <c r="AU1046366" s="16"/>
      <c r="AV1046366" s="16"/>
      <c r="AW1046366" s="16"/>
      <c r="AX1046366" s="16"/>
      <c r="AY1046366" s="16"/>
      <c r="AZ1046366" s="16"/>
      <c r="BA1046366" s="16"/>
      <c r="BB1046366" s="16"/>
      <c r="BC1046366" s="16"/>
      <c r="BD1046366" s="16"/>
      <c r="BE1046366" s="16"/>
      <c r="BF1046366" s="16"/>
      <c r="BG1046366" s="16"/>
      <c r="BH1046366" s="16"/>
      <c r="BI1046366" s="16"/>
      <c r="BJ1046366" s="16"/>
      <c r="BK1046366" s="16"/>
      <c r="BL1046366" s="16"/>
      <c r="BM1046366" s="16"/>
      <c r="BN1046366" s="16"/>
      <c r="BO1046366" s="16"/>
      <c r="BP1046366" s="16"/>
      <c r="BQ1046366" s="16"/>
      <c r="BR1046366" s="16"/>
      <c r="BS1046366" s="16"/>
      <c r="BT1046366" s="16"/>
      <c r="BU1046366" s="16"/>
      <c r="BV1046366" s="16"/>
    </row>
    <row r="1046377" spans="1:74">
      <c r="A1046377" s="27"/>
      <c r="B1046377" s="27"/>
      <c r="C1046377" s="27"/>
      <c r="D1046377" s="27"/>
      <c r="E1046377" s="27"/>
      <c r="G1046377" s="27"/>
      <c r="H1046377" s="27"/>
      <c r="I1046377" s="27"/>
      <c r="J1046377" s="28"/>
      <c r="K1046377" s="28"/>
      <c r="L1046377" s="36"/>
      <c r="M1046377" s="36"/>
      <c r="N1046377" s="27"/>
      <c r="O1046377" s="36"/>
      <c r="P1046377" s="32"/>
      <c r="Q1046377" s="32"/>
      <c r="R1046377" s="32"/>
      <c r="S1046377" s="34"/>
      <c r="T1046377" s="34"/>
      <c r="U1046377" s="34"/>
      <c r="V1046377" s="35"/>
      <c r="W1046377" s="15"/>
      <c r="X1046377" s="15"/>
      <c r="Y1046377" s="15"/>
      <c r="Z1046377" s="15"/>
      <c r="AA1046377" s="15"/>
      <c r="AB1046377" s="15"/>
      <c r="AC1046377" s="15"/>
      <c r="AD1046377" s="15"/>
      <c r="AE1046377" s="15"/>
      <c r="AF1046377" s="15"/>
      <c r="AG1046377" s="16"/>
      <c r="AH1046377" s="16"/>
      <c r="AI1046377" s="16"/>
      <c r="AJ1046377" s="16"/>
      <c r="AK1046377" s="16"/>
      <c r="AL1046377" s="16"/>
      <c r="AM1046377" s="16"/>
      <c r="AN1046377" s="16"/>
      <c r="AO1046377" s="16"/>
      <c r="AP1046377" s="16"/>
      <c r="AQ1046377" s="16"/>
      <c r="AR1046377" s="16"/>
      <c r="AS1046377" s="16"/>
      <c r="AT1046377" s="16"/>
      <c r="AU1046377" s="16"/>
      <c r="AV1046377" s="16"/>
      <c r="AW1046377" s="16"/>
      <c r="AX1046377" s="16"/>
      <c r="AY1046377" s="16"/>
      <c r="AZ1046377" s="16"/>
      <c r="BA1046377" s="16"/>
      <c r="BB1046377" s="16"/>
      <c r="BC1046377" s="16"/>
      <c r="BD1046377" s="16"/>
      <c r="BE1046377" s="16"/>
      <c r="BF1046377" s="16"/>
      <c r="BG1046377" s="16"/>
      <c r="BH1046377" s="16"/>
      <c r="BI1046377" s="16"/>
      <c r="BJ1046377" s="16"/>
      <c r="BK1046377" s="16"/>
      <c r="BL1046377" s="16"/>
      <c r="BM1046377" s="16"/>
      <c r="BN1046377" s="16"/>
      <c r="BO1046377" s="16"/>
      <c r="BP1046377" s="16"/>
      <c r="BQ1046377" s="16"/>
      <c r="BR1046377" s="16"/>
      <c r="BS1046377" s="16"/>
      <c r="BT1046377" s="16"/>
      <c r="BU1046377" s="16"/>
      <c r="BV1046377" s="16"/>
    </row>
    <row r="1046379" spans="1:74">
      <c r="A1046379" s="27"/>
      <c r="B1046379" s="27"/>
      <c r="C1046379" s="27"/>
      <c r="D1046379" s="27"/>
      <c r="E1046379" s="27"/>
      <c r="G1046379" s="27"/>
      <c r="H1046379" s="27"/>
      <c r="I1046379" s="27"/>
      <c r="J1046379" s="28"/>
      <c r="K1046379" s="28"/>
      <c r="L1046379" s="36"/>
      <c r="M1046379" s="36"/>
      <c r="N1046379" s="27"/>
      <c r="O1046379" s="36"/>
      <c r="P1046379" s="32"/>
      <c r="Q1046379" s="32"/>
      <c r="R1046379" s="32"/>
      <c r="S1046379" s="34"/>
      <c r="T1046379" s="34"/>
      <c r="U1046379" s="34"/>
      <c r="V1046379" s="35"/>
      <c r="W1046379" s="15"/>
      <c r="X1046379" s="15"/>
      <c r="Y1046379" s="15"/>
      <c r="Z1046379" s="15"/>
      <c r="AA1046379" s="15"/>
      <c r="AB1046379" s="15"/>
      <c r="AC1046379" s="15"/>
      <c r="AD1046379" s="15"/>
      <c r="AE1046379" s="15"/>
      <c r="AF1046379" s="15"/>
      <c r="AG1046379" s="16"/>
      <c r="AH1046379" s="16"/>
      <c r="AI1046379" s="16"/>
      <c r="AJ1046379" s="16"/>
      <c r="AK1046379" s="16"/>
      <c r="AL1046379" s="16"/>
      <c r="AM1046379" s="16"/>
      <c r="AN1046379" s="16"/>
      <c r="AO1046379" s="16"/>
      <c r="AP1046379" s="16"/>
      <c r="AQ1046379" s="16"/>
      <c r="AR1046379" s="16"/>
      <c r="AS1046379" s="16"/>
      <c r="AT1046379" s="16"/>
      <c r="AU1046379" s="16"/>
      <c r="AV1046379" s="16"/>
      <c r="AW1046379" s="16"/>
      <c r="AX1046379" s="16"/>
      <c r="AY1046379" s="16"/>
      <c r="AZ1046379" s="16"/>
      <c r="BA1046379" s="16"/>
      <c r="BB1046379" s="16"/>
      <c r="BC1046379" s="16"/>
      <c r="BD1046379" s="16"/>
      <c r="BE1046379" s="16"/>
      <c r="BF1046379" s="16"/>
      <c r="BG1046379" s="16"/>
      <c r="BH1046379" s="16"/>
      <c r="BI1046379" s="16"/>
      <c r="BJ1046379" s="16"/>
      <c r="BK1046379" s="16"/>
      <c r="BL1046379" s="16"/>
      <c r="BM1046379" s="16"/>
      <c r="BN1046379" s="16"/>
      <c r="BO1046379" s="16"/>
      <c r="BP1046379" s="16"/>
      <c r="BQ1046379" s="16"/>
      <c r="BR1046379" s="16"/>
      <c r="BS1046379" s="16"/>
      <c r="BT1046379" s="16"/>
      <c r="BU1046379" s="16"/>
      <c r="BV1046379" s="16"/>
    </row>
    <row r="1046384" spans="1:74">
      <c r="A1046384" s="27"/>
      <c r="B1046384" s="27"/>
      <c r="C1046384" s="27"/>
      <c r="D1046384" s="27"/>
      <c r="E1046384" s="27"/>
      <c r="G1046384" s="27"/>
      <c r="H1046384" s="27"/>
      <c r="I1046384" s="27"/>
      <c r="J1046384" s="28"/>
      <c r="K1046384" s="28"/>
      <c r="L1046384" s="36"/>
      <c r="M1046384" s="36"/>
      <c r="N1046384" s="27"/>
      <c r="O1046384" s="36"/>
      <c r="P1046384" s="32"/>
      <c r="Q1046384" s="32"/>
      <c r="R1046384" s="32"/>
      <c r="S1046384" s="34"/>
      <c r="T1046384" s="34"/>
      <c r="U1046384" s="34"/>
      <c r="V1046384" s="35"/>
      <c r="W1046384" s="15"/>
      <c r="X1046384" s="15"/>
      <c r="Y1046384" s="15"/>
      <c r="Z1046384" s="15"/>
      <c r="AA1046384" s="15"/>
      <c r="AB1046384" s="15"/>
      <c r="AC1046384" s="15"/>
      <c r="AD1046384" s="15"/>
      <c r="AE1046384" s="15"/>
      <c r="AF1046384" s="15"/>
      <c r="AG1046384" s="16"/>
      <c r="AH1046384" s="16"/>
      <c r="AI1046384" s="16"/>
      <c r="AJ1046384" s="16"/>
      <c r="AK1046384" s="16"/>
      <c r="AL1046384" s="16"/>
      <c r="AM1046384" s="16"/>
      <c r="AN1046384" s="16"/>
      <c r="AO1046384" s="16"/>
      <c r="AP1046384" s="16"/>
      <c r="AQ1046384" s="16"/>
      <c r="AR1046384" s="16"/>
      <c r="AS1046384" s="16"/>
      <c r="AT1046384" s="16"/>
      <c r="AU1046384" s="16"/>
      <c r="AV1046384" s="16"/>
      <c r="AW1046384" s="16"/>
      <c r="AX1046384" s="16"/>
      <c r="AY1046384" s="16"/>
      <c r="AZ1046384" s="16"/>
      <c r="BA1046384" s="16"/>
      <c r="BB1046384" s="16"/>
      <c r="BC1046384" s="16"/>
      <c r="BD1046384" s="16"/>
      <c r="BE1046384" s="16"/>
      <c r="BF1046384" s="16"/>
      <c r="BG1046384" s="16"/>
      <c r="BH1046384" s="16"/>
      <c r="BI1046384" s="16"/>
      <c r="BJ1046384" s="16"/>
      <c r="BK1046384" s="16"/>
      <c r="BL1046384" s="16"/>
      <c r="BM1046384" s="16"/>
      <c r="BN1046384" s="16"/>
      <c r="BO1046384" s="16"/>
      <c r="BP1046384" s="16"/>
      <c r="BQ1046384" s="16"/>
      <c r="BR1046384" s="16"/>
      <c r="BS1046384" s="16"/>
      <c r="BT1046384" s="16"/>
      <c r="BU1046384" s="16"/>
      <c r="BV1046384" s="16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AI1:AJ1 AH2:AM2 AL1:AM1 AN1:AW2 AX1:BG1 AX2:BI2 BJ1:BV2 A130:BV130 C1:AG2 A1:A3 C59:I59 B60:I63 J59:N63 C36:N58 G64:N83 O36:BV83 F74:F100 B64:E100 G84:BV100 G127:G129 B101:F129 G101:G125 H101:BV129 B1:B4 B21:B59 C23:BV35 C3:BV4 C21:F22 B17:F20 B5:BV16 G17:BV22" name="All" securityDescriptor="O:WDG:WDD:(A;;CC;;;S-1-5-21-2856633852-605421536-4035018569-17173)(A;;CC;;;S-1-5-21-2856633852-605421536-4035018569-1134)"/>
  </protectedRanges>
  <autoFilter ref="B2:P129"/>
  <customSheetViews>
    <customSheetView guid="{EF4C86B4-137F-4865-AAA8-DFA18E73126C}" scale="110" showAutoFilter="1">
      <pane xSplit="18" ySplit="2" topLeftCell="AR3" activePane="bottomRight" state="frozen"/>
      <selection pane="bottomRight" activeCell="L8" sqref="L8"/>
      <pageMargins left="0.7" right="0.7" top="0.75" bottom="0.75" header="0.3" footer="0.3"/>
      <pageSetup paperSize="9" orientation="portrait" r:id="rId1"/>
      <autoFilter ref="B2:O108"/>
    </customSheetView>
    <customSheetView guid="{C04FD524-FA0C-4C41-A249-FB149D6DB51F}" scale="110" filter="1" showAutoFilter="1">
      <pane xSplit="18" ySplit="2" topLeftCell="AL3" activePane="bottomRight" state="frozen"/>
      <selection pane="bottomRight" activeCell="O91" sqref="O91:O92"/>
      <pageMargins left="0.7" right="0.7" top="0.75" bottom="0.75" header="0.3" footer="0.3"/>
      <pageSetup paperSize="9" orientation="portrait" r:id="rId2"/>
      <autoFilter ref="B2:O108">
        <filterColumn colId="4">
          <filters>
            <filter val="ThongCV"/>
          </filters>
        </filterColumn>
      </autoFilter>
    </customSheetView>
    <customSheetView guid="{496B1B49-F920-48C1-B26E-9A1F4E6E5157}" scale="110" filter="1" showAutoFilter="1">
      <pane xSplit="18" ySplit="2" topLeftCell="S3" activePane="bottomRight" state="frozen"/>
      <selection pane="bottomRight" activeCell="H35" sqref="H35"/>
      <pageMargins left="0.7" right="0.7" top="0.75" bottom="0.75" header="0.3" footer="0.3"/>
      <pageSetup paperSize="9" orientation="portrait" r:id="rId3"/>
      <autoFilter ref="B2:O108">
        <filterColumn colId="4">
          <filters>
            <filter val="ThuanTV"/>
          </filters>
        </filterColumn>
      </autoFilter>
    </customSheetView>
    <customSheetView guid="{28579E25-F775-48E1-98C2-206BE5E524FE}" scale="110" showAutoFilter="1">
      <pane xSplit="18" ySplit="2" topLeftCell="BA66" activePane="bottomRight" state="frozen"/>
      <selection pane="bottomRight" activeCell="E71" sqref="E71"/>
      <pageMargins left="0.7" right="0.7" top="0.75" bottom="0.75" header="0.3" footer="0.3"/>
      <pageSetup paperSize="9" orientation="portrait" r:id="rId4"/>
      <autoFilter ref="B2:O100"/>
    </customSheetView>
    <customSheetView guid="{5DC62200-E966-42EC-876C-0B719896BF62}" scale="110" showAutoFilter="1">
      <pane xSplit="18" ySplit="2" topLeftCell="AV57" activePane="bottomRight" state="frozen"/>
      <selection pane="bottomRight" activeCell="N77" sqref="N77"/>
      <pageMargins left="0.7" right="0.7" top="0.75" bottom="0.75" header="0.3" footer="0.3"/>
      <pageSetup paperSize="9" orientation="portrait" r:id="rId5"/>
      <autoFilter ref="B2:O101"/>
    </customSheetView>
    <customSheetView guid="{63BBB3C8-2BBD-47A9-8577-895E120CF491}" scale="110" showAutoFilter="1">
      <pane xSplit="17" ySplit="2" topLeftCell="R276" activePane="bottomRight" state="frozen"/>
      <selection pane="bottomRight" activeCell="K250" sqref="K250"/>
      <pageMargins left="0.7" right="0.7" top="0.75" bottom="0.75" header="0.3" footer="0.3"/>
      <pageSetup paperSize="9" orientation="portrait" r:id="rId6"/>
      <autoFilter ref="A2:Q540"/>
    </customSheetView>
    <customSheetView guid="{C55B95B2-4161-4E6D-8703-1A83FF9F95D4}" scale="110" filter="1" showAutoFilter="1">
      <pane xSplit="17" ySplit="2" topLeftCell="R260" activePane="bottomRight" state="frozen"/>
      <selection pane="bottomRight" activeCell="K250" sqref="K250"/>
      <pageMargins left="0.7" right="0.7" top="0.75" bottom="0.75" header="0.3" footer="0.3"/>
      <pageSetup paperSize="9" orientation="portrait" r:id="rId7"/>
      <autoFilter ref="A2:Q540">
        <filterColumn colId="12">
          <filters>
            <filter val="Closed"/>
          </filters>
        </filterColumn>
      </autoFilter>
    </customSheetView>
    <customSheetView guid="{8C47ADE1-7CA3-4AB3-A749-547B18615B1D}" scale="110" filter="1" showAutoFilter="1">
      <pane xSplit="17" ySplit="2" topLeftCell="R233" activePane="bottomRight" state="frozen"/>
      <selection pane="bottomRight" activeCell="Q1" sqref="Q1"/>
      <pageMargins left="0.7" right="0.7" top="0.75" bottom="0.75" header="0.3" footer="0.3"/>
      <pageSetup paperSize="9" orientation="portrait" r:id="rId8"/>
      <autoFilter ref="A2:Q540">
        <filterColumn colId="12">
          <filters blank="1">
            <filter val="On-going"/>
            <filter val="Reviewing"/>
            <filter val="Transferred"/>
          </filters>
        </filterColumn>
      </autoFilter>
    </customSheetView>
    <customSheetView guid="{051D1CA9-AD3E-4268-8658-F8950473509F}" scale="110" showAutoFilter="1">
      <pane xSplit="17" ySplit="2" topLeftCell="R237" activePane="bottomRight" state="frozen"/>
      <selection pane="bottomRight" activeCell="L259" sqref="L259"/>
      <pageMargins left="0.7" right="0.7" top="0.75" bottom="0.75" header="0.3" footer="0.3"/>
      <pageSetup paperSize="9" orientation="portrait" r:id="rId9"/>
      <autoFilter ref="A2:Q540"/>
    </customSheetView>
    <customSheetView guid="{7AC9EE31-E3C8-43A5-8490-C2342F28991D}" scale="110" filter="1" showAutoFilter="1">
      <pane xSplit="17" ySplit="2" topLeftCell="R3" activePane="bottomRight" state="frozen"/>
      <selection pane="bottomRight" activeCell="M266" sqref="M266"/>
      <pageMargins left="0.7" right="0.7" top="0.75" bottom="0.75" header="0.3" footer="0.3"/>
      <pageSetup paperSize="9" orientation="portrait" r:id="rId10"/>
      <autoFilter ref="A2:Q540">
        <filterColumn colId="12">
          <filters blank="1">
            <filter val="On-going"/>
            <filter val="Reviewing"/>
            <filter val="Transferred"/>
          </filters>
        </filterColumn>
      </autoFilter>
    </customSheetView>
    <customSheetView guid="{44117B2C-C61F-437C-A9C5-65A80C2AE348}" scale="110" filter="1" showAutoFilter="1">
      <pane xSplit="17" ySplit="2" topLeftCell="R3" activePane="bottomRight" state="frozen"/>
      <selection pane="bottomRight" activeCell="O118" sqref="O118"/>
      <pageMargins left="0.7" right="0.7" top="0.75" bottom="0.75" header="0.3" footer="0.3"/>
      <pageSetup paperSize="9" orientation="portrait" r:id="rId11"/>
      <autoFilter ref="F2:O540">
        <filterColumn colId="0">
          <filters>
            <filter val="ThangTQ"/>
          </filters>
        </filterColumn>
      </autoFilter>
    </customSheetView>
    <customSheetView guid="{A521652D-57C6-4292-A79A-663908B7FF11}" scale="110" showAutoFilter="1">
      <pane xSplit="17" ySplit="2" topLeftCell="AW3" activePane="bottomRight" state="frozen"/>
      <selection pane="bottomRight" activeCell="G17" sqref="G17"/>
      <pageMargins left="0.7" right="0.7" top="0.75" bottom="0.75" header="0.3" footer="0.3"/>
      <pageSetup paperSize="9" orientation="portrait" r:id="rId12"/>
      <autoFilter ref="F2:O538"/>
    </customSheetView>
    <customSheetView guid="{8EE48057-80AB-4D49-9FEE-65CF78F2A246}" scale="120" filter="1" showAutoFilter="1" hiddenColumns="1">
      <pane xSplit="13" ySplit="2" topLeftCell="T3" activePane="bottomRight" state="frozen"/>
      <selection pane="bottomRight" activeCell="H479" sqref="H479"/>
      <pageMargins left="0.7" right="0.7" top="0.75" bottom="0.75" header="0.3" footer="0.3"/>
      <pageSetup paperSize="9" orientation="portrait" r:id="rId13"/>
      <autoFilter ref="E2:M474">
        <filterColumn colId="0">
          <filters>
            <filter val="ThangTQ"/>
          </filters>
        </filterColumn>
      </autoFilter>
    </customSheetView>
    <customSheetView guid="{9B6049CB-74F7-4A4B-BDEE-129DA6BA93C7}" filter="1" showAutoFilter="1" hiddenColumns="1">
      <pane xSplit="17" ySplit="2" topLeftCell="AS3" activePane="bottomRight" state="frozen"/>
      <selection pane="bottomRight" activeCell="D66" sqref="D66"/>
      <pageMargins left="0.7" right="0.7" top="0.75" bottom="0.75" header="0.3" footer="0.3"/>
      <pageSetup paperSize="9" orientation="portrait" r:id="rId14"/>
      <autoFilter ref="F2:O465">
        <filterColumn colId="0">
          <filters>
            <filter val="TaiNT"/>
          </filters>
        </filterColumn>
      </autoFilter>
    </customSheetView>
    <customSheetView guid="{BA680C88-7FC3-49C3-AA14-74432754B497}" scale="110" showAutoFilter="1">
      <pane xSplit="17" ySplit="2" topLeftCell="R222" activePane="bottomRight" state="frozen"/>
      <selection pane="bottomRight" activeCell="O229" sqref="O229"/>
      <pageMargins left="0.7" right="0.7" top="0.75" bottom="0.75" header="0.3" footer="0.3"/>
      <pageSetup paperSize="9" orientation="portrait" r:id="rId15"/>
      <autoFilter ref="F2:O540"/>
    </customSheetView>
    <customSheetView guid="{A0179960-2037-454D-BA81-E315A8E16A3A}" scale="115" showAutoFilter="1" topLeftCell="C206">
      <selection activeCell="O228" sqref="O228"/>
      <pageMargins left="0.7" right="0.7" top="0.75" bottom="0.75" header="0.3" footer="0.3"/>
      <pageSetup paperSize="9" orientation="portrait" r:id="rId16"/>
      <autoFilter ref="F2:O540"/>
    </customSheetView>
    <customSheetView guid="{52646C22-009A-42DB-9645-9B1CCBC06272}" scale="110" showAutoFilter="1">
      <pane xSplit="17" ySplit="2" topLeftCell="R280" activePane="bottomRight" state="frozen"/>
      <selection pane="bottomRight" activeCell="K305" sqref="K305"/>
      <pageMargins left="0.7" right="0.7" top="0.75" bottom="0.75" header="0.3" footer="0.3"/>
      <pageSetup paperSize="9" orientation="portrait" r:id="rId17"/>
      <autoFilter ref="F2:O540"/>
    </customSheetView>
    <customSheetView guid="{CBAA7D8B-D486-41DF-B6D0-D71293163E33}" scale="110" filter="1" showAutoFilter="1">
      <pane xSplit="17" ySplit="2" topLeftCell="R230" activePane="bottomRight" state="frozen"/>
      <selection pane="bottomRight" activeCell="H553" sqref="H553"/>
      <pageMargins left="0.7" right="0.7" top="0.75" bottom="0.75" header="0.3" footer="0.3"/>
      <pageSetup paperSize="9" orientation="portrait" r:id="rId18"/>
      <autoFilter ref="F2:O540">
        <filterColumn colId="0">
          <filters>
            <filter val="SangNHH"/>
          </filters>
        </filterColumn>
      </autoFilter>
    </customSheetView>
    <customSheetView guid="{7E427091-283A-453B-94EB-2B448709C24B}" scale="110" showAutoFilter="1">
      <pane xSplit="17" ySplit="2" topLeftCell="R282" activePane="bottomRight" state="frozen"/>
      <selection pane="bottomRight" activeCell="O298" sqref="O298"/>
      <pageMargins left="0.7" right="0.7" top="0.75" bottom="0.75" header="0.3" footer="0.3"/>
      <pageSetup paperSize="9" orientation="portrait" r:id="rId19"/>
      <autoFilter ref="F2:O540"/>
    </customSheetView>
    <customSheetView guid="{3D68303D-5E50-44AA-9745-976E940C48C6}" scale="110" showAutoFilter="1">
      <pane xSplit="18" ySplit="2" topLeftCell="X75" activePane="bottomRight" state="frozen"/>
      <selection pane="bottomRight" activeCell="Q108" sqref="Q108"/>
      <pageMargins left="0.7" right="0.7" top="0.75" bottom="0.75" header="0.3" footer="0.3"/>
      <pageSetup paperSize="9" orientation="portrait" r:id="rId20"/>
      <autoFilter ref="B2:O108"/>
    </customSheetView>
    <customSheetView guid="{9099418D-E49E-4572-BCBA-F1DE53B5DFAB}" scale="110" filter="1" showAutoFilter="1">
      <pane xSplit="18" ySplit="2" topLeftCell="X45" activePane="bottomRight" state="frozen"/>
      <selection pane="bottomRight" activeCell="J110" sqref="J110"/>
      <pageMargins left="0.7" right="0.7" top="0.75" bottom="0.75" header="0.3" footer="0.3"/>
      <pageSetup paperSize="9" orientation="portrait" r:id="rId21"/>
      <autoFilter ref="B2:O108">
        <filterColumn colId="4">
          <filters>
            <filter val="VinhPQ"/>
          </filters>
        </filterColumn>
      </autoFilter>
    </customSheetView>
    <customSheetView guid="{6ABFDB73-A4FC-493C-A504-1276E731333B}" scale="110" showAutoFilter="1">
      <pane xSplit="18" ySplit="2" topLeftCell="X42" activePane="bottomRight" state="frozen"/>
      <selection pane="bottomRight" activeCell="R65" sqref="R65"/>
      <pageMargins left="0.7" right="0.7" top="0.75" bottom="0.75" header="0.3" footer="0.3"/>
      <pageSetup paperSize="9" orientation="portrait" r:id="rId22"/>
      <autoFilter ref="B2:O108"/>
    </customSheetView>
  </customSheetViews>
  <mergeCells count="2">
    <mergeCell ref="H1:J1"/>
    <mergeCell ref="L1:N1"/>
  </mergeCells>
  <phoneticPr fontId="8"/>
  <conditionalFormatting sqref="A3:J3 L3:V3 A130:V130 B61:C62 B63 B128:E128 G128 D64:E64 J129:N129 C21:D24 C25:E26 C36:E36 C27:D35 C38:E39 C37:D37 C44:E44 C40:D43 B59:D59 C45:D58 C4:E4 D60:D63 D129:E129 G30 J30:K62 J59:J63 K64:K127 L84:V88 F80:F90 B64:C127 P65:V83 P36:U59 O4:U4 L90:V127 N89:V89 D69:E90 D91:D125 D126:E127 G124:I124 H125:I127 G79:I104 J65:J127 H101:I123 O11:U12 C11:E12 G23:K29 O21:U35 G4:K4 G11 J11:K11 G9:K9 O9:U9 C9:E9 H22:K22 J21:K21 H12:K12 G6:K7 O6:U7 C6:E7">
    <cfRule type="expression" dxfId="255" priority="9264">
      <formula>IF(AND(NOT(ISBLANK($I3)),NOW()&gt;$I3,OR($O3="On-going",$O3="New")),TRUE,FALSE)</formula>
    </cfRule>
  </conditionalFormatting>
  <conditionalFormatting sqref="F4 F25:F26 F31 F36 F38:F39 F11:F12 F9 F6:F7">
    <cfRule type="expression" dxfId="254" priority="10298">
      <formula>IF(AND(NOT(ISBLANK(#REF!)),NOW()&gt;#REF!,OR(#REF!="On-going",#REF!="New")),TRUE,FALSE)</formula>
    </cfRule>
  </conditionalFormatting>
  <conditionalFormatting sqref="K3">
    <cfRule type="expression" dxfId="253" priority="1153">
      <formula>IF(AND(NOT(ISBLANK($I3)),NOW()&gt;$I3,OR($O3="On-going",$O3="New")),TRUE,FALSE)</formula>
    </cfRule>
  </conditionalFormatting>
  <conditionalFormatting sqref="P64">
    <cfRule type="expression" dxfId="252" priority="834">
      <formula>IF(AND(NOT(ISBLANK($I64)),NOW()&gt;$I64,OR($O64="On-going",$O64="New")),TRUE,FALSE)</formula>
    </cfRule>
  </conditionalFormatting>
  <conditionalFormatting sqref="B60:C60">
    <cfRule type="expression" dxfId="251" priority="907">
      <formula>IF(AND(NOT(ISBLANK($I60)),NOW()&gt;$I60,OR($O60="On-going",$O60="New")),TRUE,FALSE)</formula>
    </cfRule>
  </conditionalFormatting>
  <conditionalFormatting sqref="D65:D68">
    <cfRule type="expression" dxfId="250" priority="850">
      <formula>IF(AND(NOT(ISBLANK($I65)),NOW()&gt;$I65,OR($O65="On-going",$O65="New")),TRUE,FALSE)</formula>
    </cfRule>
  </conditionalFormatting>
  <conditionalFormatting sqref="S62:V62">
    <cfRule type="expression" dxfId="249" priority="901">
      <formula>IF(AND(NOT(ISBLANK($I62)),NOW()&gt;$I62,OR($O62="On-going",$O62="New")),TRUE,FALSE)</formula>
    </cfRule>
  </conditionalFormatting>
  <conditionalFormatting sqref="Q62:R62">
    <cfRule type="expression" dxfId="248" priority="900">
      <formula>IF(AND(NOT(ISBLANK($I62)),NOW()&gt;$I62,OR($O62="On-going",$O62="New")),TRUE,FALSE)</formula>
    </cfRule>
  </conditionalFormatting>
  <conditionalFormatting sqref="J63:K63 P63:T63">
    <cfRule type="expression" dxfId="247" priority="871">
      <formula>IF(AND(NOT(ISBLANK($I63)),NOW()&gt;$I63,OR($O63="On-going",$O63="New")),TRUE,FALSE)</formula>
    </cfRule>
  </conditionalFormatting>
  <conditionalFormatting sqref="U63">
    <cfRule type="expression" dxfId="246" priority="870">
      <formula>IF(AND(NOT(ISBLANK($I63)),NOW()&gt;$I63,OR($O63="On-going",$O63="New")),TRUE,FALSE)</formula>
    </cfRule>
  </conditionalFormatting>
  <conditionalFormatting sqref="Q61:R61">
    <cfRule type="expression" dxfId="245" priority="896">
      <formula>IF(AND(NOT(ISBLANK($I61)),NOW()&gt;$I61,OR($O61="On-going",$O61="New")),TRUE,FALSE)</formula>
    </cfRule>
  </conditionalFormatting>
  <conditionalFormatting sqref="S61:V61">
    <cfRule type="expression" dxfId="244" priority="897">
      <formula>IF(AND(NOT(ISBLANK($I61)),NOW()&gt;$I61,OR($O61="On-going",$O61="New")),TRUE,FALSE)</formula>
    </cfRule>
  </conditionalFormatting>
  <conditionalFormatting sqref="S60:V60">
    <cfRule type="expression" dxfId="243" priority="893">
      <formula>IF(AND(NOT(ISBLANK($I60)),NOW()&gt;$I60,OR($O60="On-going",$O60="New")),TRUE,FALSE)</formula>
    </cfRule>
  </conditionalFormatting>
  <conditionalFormatting sqref="Q60:R60">
    <cfRule type="expression" dxfId="242" priority="892">
      <formula>IF(AND(NOT(ISBLANK($I60)),NOW()&gt;$I60,OR($O60="On-going",$O60="New")),TRUE,FALSE)</formula>
    </cfRule>
  </conditionalFormatting>
  <conditionalFormatting sqref="P61">
    <cfRule type="expression" dxfId="241" priority="888">
      <formula>IF(AND(NOT(ISBLANK($I61)),NOW()&gt;$I61,OR($O61="On-going",$O61="New")),TRUE,FALSE)</formula>
    </cfRule>
  </conditionalFormatting>
  <conditionalFormatting sqref="P62">
    <cfRule type="expression" dxfId="240" priority="887">
      <formula>IF(AND(NOT(ISBLANK($I62)),NOW()&gt;$I62,OR($O62="On-going",$O62="New")),TRUE,FALSE)</formula>
    </cfRule>
  </conditionalFormatting>
  <conditionalFormatting sqref="K128:T128">
    <cfRule type="expression" dxfId="239" priority="818">
      <formula>IF(AND(NOT(ISBLANK($I128)),NOW()&gt;$I128,OR($O128="On-going",$O128="New")),TRUE,FALSE)</formula>
    </cfRule>
  </conditionalFormatting>
  <conditionalFormatting sqref="U128">
    <cfRule type="expression" dxfId="238" priority="817">
      <formula>IF(AND(NOT(ISBLANK($I128)),NOW()&gt;$I128,OR($O128="On-going",$O128="New")),TRUE,FALSE)</formula>
    </cfRule>
  </conditionalFormatting>
  <conditionalFormatting sqref="O129:P129">
    <cfRule type="expression" dxfId="237" priority="800">
      <formula>IF(AND(NOT(ISBLANK($I129)),NOW()&gt;$I129,OR($O129="On-going",$O129="New")),TRUE,FALSE)</formula>
    </cfRule>
  </conditionalFormatting>
  <conditionalFormatting sqref="Q64:R64">
    <cfRule type="expression" dxfId="236" priority="844">
      <formula>IF(AND(NOT(ISBLANK($I64)),NOW()&gt;$I64,OR($O64="On-going",$O64="New")),TRUE,FALSE)</formula>
    </cfRule>
  </conditionalFormatting>
  <conditionalFormatting sqref="S64:V64">
    <cfRule type="expression" dxfId="235" priority="845">
      <formula>IF(AND(NOT(ISBLANK($I64)),NOW()&gt;$I64,OR($O64="On-going",$O64="New")),TRUE,FALSE)</formula>
    </cfRule>
  </conditionalFormatting>
  <conditionalFormatting sqref="F128">
    <cfRule type="expression" dxfId="234" priority="819">
      <formula>IF(AND(NOT(ISBLANK(#REF!)),NOW()&gt;#REF!,OR(#REF!="On-going",#REF!="New")),TRUE,FALSE)</formula>
    </cfRule>
  </conditionalFormatting>
  <conditionalFormatting sqref="S129:V129">
    <cfRule type="expression" dxfId="233" priority="807">
      <formula>IF(AND(NOT(ISBLANK($I129)),NOW()&gt;$I129,OR($O129="On-going",$O129="New")),TRUE,FALSE)</formula>
    </cfRule>
  </conditionalFormatting>
  <conditionalFormatting sqref="Q129:R129">
    <cfRule type="expression" dxfId="232" priority="806">
      <formula>IF(AND(NOT(ISBLANK($I129)),NOW()&gt;$I129,OR($O129="On-going",$O129="New")),TRUE,FALSE)</formula>
    </cfRule>
  </conditionalFormatting>
  <conditionalFormatting sqref="G129">
    <cfRule type="expression" dxfId="231" priority="773">
      <formula>IF(AND(NOT(ISBLANK($I129)),NOW()&gt;$I129,OR($O129="On-going",$O129="New")),TRUE,FALSE)</formula>
    </cfRule>
  </conditionalFormatting>
  <conditionalFormatting sqref="C63">
    <cfRule type="expression" dxfId="230" priority="425">
      <formula>IF(AND(NOT(ISBLANK($I63)),NOW()&gt;$I63,OR($O63="On-going",$O63="New")),TRUE,FALSE)</formula>
    </cfRule>
  </conditionalFormatting>
  <conditionalFormatting sqref="P60">
    <cfRule type="expression" dxfId="229" priority="315">
      <formula>IF(AND(NOT(ISBLANK($I60)),NOW()&gt;$I60,OR($O60="On-going",$O60="New")),TRUE,FALSE)</formula>
    </cfRule>
  </conditionalFormatting>
  <conditionalFormatting sqref="H129">
    <cfRule type="expression" dxfId="228" priority="221">
      <formula>IF(AND(NOT(ISBLANK($I129)),NOW()&gt;$I129,OR($O129="On-going",$O129="New")),TRUE,FALSE)</formula>
    </cfRule>
  </conditionalFormatting>
  <conditionalFormatting sqref="H128">
    <cfRule type="expression" dxfId="227" priority="232">
      <formula>IF(AND(NOT(ISBLANK($I128)),NOW()&gt;$I128,OR($O128="On-going",$O128="New")),TRUE,FALSE)</formula>
    </cfRule>
  </conditionalFormatting>
  <conditionalFormatting sqref="I128">
    <cfRule type="expression" dxfId="226" priority="231">
      <formula>IF(AND(NOT(ISBLANK($I128)),NOW()&gt;$I128,OR($O128="On-going",$O128="New")),TRUE,FALSE)</formula>
    </cfRule>
  </conditionalFormatting>
  <conditionalFormatting sqref="J64:J68">
    <cfRule type="expression" dxfId="225" priority="230">
      <formula>IF(AND(NOT(ISBLANK($I64)),NOW()&gt;$I64,OR($O64="On-going",$O64="New")),TRUE,FALSE)</formula>
    </cfRule>
  </conditionalFormatting>
  <conditionalFormatting sqref="J128">
    <cfRule type="expression" dxfId="224" priority="225">
      <formula>IF(AND(NOT(ISBLANK($I128)),NOW()&gt;$I128,OR($O128="On-going",$O128="New")),TRUE,FALSE)</formula>
    </cfRule>
  </conditionalFormatting>
  <conditionalFormatting sqref="C129">
    <cfRule type="expression" dxfId="223" priority="224">
      <formula>IF(AND(NOT(ISBLANK($I129)),NOW()&gt;$I129,OR($O129="On-going",$O129="New")),TRUE,FALSE)</formula>
    </cfRule>
  </conditionalFormatting>
  <conditionalFormatting sqref="B129">
    <cfRule type="expression" dxfId="222" priority="223">
      <formula>IF(AND(NOT(ISBLANK($I129)),NOW()&gt;$I129,OR($O129="On-going",$O129="New")),TRUE,FALSE)</formula>
    </cfRule>
  </conditionalFormatting>
  <conditionalFormatting sqref="F129">
    <cfRule type="expression" dxfId="221" priority="222">
      <formula>IF(AND(NOT(ISBLANK(#REF!)),NOW()&gt;#REF!,OR(#REF!="On-going",#REF!="New")),TRUE,FALSE)</formula>
    </cfRule>
  </conditionalFormatting>
  <conditionalFormatting sqref="I129">
    <cfRule type="expression" dxfId="220" priority="220">
      <formula>IF(AND(NOT(ISBLANK($I129)),NOW()&gt;$I129,OR($O129="On-going",$O129="New")),TRUE,FALSE)</formula>
    </cfRule>
  </conditionalFormatting>
  <conditionalFormatting sqref="E21:E24">
    <cfRule type="expression" dxfId="219" priority="215">
      <formula>IF(AND(NOT(ISBLANK($I21)),NOW()&gt;$I21,OR($O21="On-going",$O21="New")),TRUE,FALSE)</formula>
    </cfRule>
  </conditionalFormatting>
  <conditionalFormatting sqref="F22:F24">
    <cfRule type="expression" dxfId="218" priority="216">
      <formula>IF(AND(NOT(ISBLANK(#REF!)),NOW()&gt;#REF!,OR(#REF!="On-going",#REF!="New")),TRUE,FALSE)</formula>
    </cfRule>
  </conditionalFormatting>
  <conditionalFormatting sqref="E27">
    <cfRule type="expression" dxfId="217" priority="213">
      <formula>IF(AND(NOT(ISBLANK($I27)),NOW()&gt;$I27,OR($O27="On-going",$O27="New")),TRUE,FALSE)</formula>
    </cfRule>
  </conditionalFormatting>
  <conditionalFormatting sqref="F27">
    <cfRule type="expression" dxfId="216" priority="214">
      <formula>IF(AND(NOT(ISBLANK(#REF!)),NOW()&gt;#REF!,OR(#REF!="On-going",#REF!="New")),TRUE,FALSE)</formula>
    </cfRule>
  </conditionalFormatting>
  <conditionalFormatting sqref="E28:E30">
    <cfRule type="expression" dxfId="215" priority="211">
      <formula>IF(AND(NOT(ISBLANK($I28)),NOW()&gt;$I28,OR($O28="On-going",$O28="New")),TRUE,FALSE)</formula>
    </cfRule>
  </conditionalFormatting>
  <conditionalFormatting sqref="F28:F30">
    <cfRule type="expression" dxfId="214" priority="212">
      <formula>IF(AND(NOT(ISBLANK(#REF!)),NOW()&gt;#REF!,OR(#REF!="On-going",#REF!="New")),TRUE,FALSE)</formula>
    </cfRule>
  </conditionalFormatting>
  <conditionalFormatting sqref="E31">
    <cfRule type="expression" dxfId="213" priority="210">
      <formula>IF(AND(NOT(ISBLANK($I31)),NOW()&gt;$I31,OR($O31="On-going",$O31="New")),TRUE,FALSE)</formula>
    </cfRule>
  </conditionalFormatting>
  <conditionalFormatting sqref="F32:F35">
    <cfRule type="expression" dxfId="212" priority="209">
      <formula>IF(AND(NOT(ISBLANK(#REF!)),NOW()&gt;#REF!,OR(#REF!="On-going",#REF!="New")),TRUE,FALSE)</formula>
    </cfRule>
  </conditionalFormatting>
  <conditionalFormatting sqref="E32:E35">
    <cfRule type="expression" dxfId="211" priority="208">
      <formula>IF(AND(NOT(ISBLANK($I32)),NOW()&gt;$I32,OR($O32="On-going",$O32="New")),TRUE,FALSE)</formula>
    </cfRule>
  </conditionalFormatting>
  <conditionalFormatting sqref="G31:G35">
    <cfRule type="expression" dxfId="210" priority="207">
      <formula>IF(AND(NOT(ISBLANK($I31)),NOW()&gt;$I31,OR($O31="On-going",$O31="New")),TRUE,FALSE)</formula>
    </cfRule>
  </conditionalFormatting>
  <conditionalFormatting sqref="E37">
    <cfRule type="expression" dxfId="209" priority="205">
      <formula>IF(AND(NOT(ISBLANK($I37)),NOW()&gt;$I37,OR($O37="On-going",$O37="New")),TRUE,FALSE)</formula>
    </cfRule>
  </conditionalFormatting>
  <conditionalFormatting sqref="F37">
    <cfRule type="expression" dxfId="208" priority="206">
      <formula>IF(AND(NOT(ISBLANK(#REF!)),NOW()&gt;#REF!,OR(#REF!="On-going",#REF!="New")),TRUE,FALSE)</formula>
    </cfRule>
  </conditionalFormatting>
  <conditionalFormatting sqref="G36">
    <cfRule type="expression" dxfId="207" priority="204">
      <formula>IF(AND(NOT(ISBLANK($I36)),NOW()&gt;$I36,OR($O36="On-going",$O36="New")),TRUE,FALSE)</formula>
    </cfRule>
  </conditionalFormatting>
  <conditionalFormatting sqref="G37">
    <cfRule type="expression" dxfId="206" priority="203">
      <formula>IF(AND(NOT(ISBLANK($I37)),NOW()&gt;$I37,OR($O37="On-going",$O37="New")),TRUE,FALSE)</formula>
    </cfRule>
  </conditionalFormatting>
  <conditionalFormatting sqref="G38">
    <cfRule type="expression" dxfId="205" priority="202">
      <formula>IF(AND(NOT(ISBLANK($I38)),NOW()&gt;$I38,OR($O38="On-going",$O38="New")),TRUE,FALSE)</formula>
    </cfRule>
  </conditionalFormatting>
  <conditionalFormatting sqref="E40">
    <cfRule type="expression" dxfId="204" priority="200">
      <formula>IF(AND(NOT(ISBLANK($I40)),NOW()&gt;$I40,OR($O40="On-going",$O40="New")),TRUE,FALSE)</formula>
    </cfRule>
  </conditionalFormatting>
  <conditionalFormatting sqref="F40">
    <cfRule type="expression" dxfId="203" priority="201">
      <formula>IF(AND(NOT(ISBLANK(#REF!)),NOW()&gt;#REF!,OR(#REF!="On-going",#REF!="New")),TRUE,FALSE)</formula>
    </cfRule>
  </conditionalFormatting>
  <conditionalFormatting sqref="E41:E43">
    <cfRule type="expression" dxfId="202" priority="198">
      <formula>IF(AND(NOT(ISBLANK($I41)),NOW()&gt;$I41,OR($O41="On-going",$O41="New")),TRUE,FALSE)</formula>
    </cfRule>
  </conditionalFormatting>
  <conditionalFormatting sqref="F41:F43">
    <cfRule type="expression" dxfId="201" priority="199">
      <formula>IF(AND(NOT(ISBLANK(#REF!)),NOW()&gt;#REF!,OR(#REF!="On-going",#REF!="New")),TRUE,FALSE)</formula>
    </cfRule>
  </conditionalFormatting>
  <conditionalFormatting sqref="G39:G43">
    <cfRule type="expression" dxfId="200" priority="197">
      <formula>IF(AND(NOT(ISBLANK($I39)),NOW()&gt;$I39,OR($O39="On-going",$O39="New")),TRUE,FALSE)</formula>
    </cfRule>
  </conditionalFormatting>
  <conditionalFormatting sqref="F44">
    <cfRule type="expression" dxfId="199" priority="196">
      <formula>IF(AND(NOT(ISBLANK(#REF!)),NOW()&gt;#REF!,OR(#REF!="On-going",#REF!="New")),TRUE,FALSE)</formula>
    </cfRule>
  </conditionalFormatting>
  <conditionalFormatting sqref="E45:E49 E54">
    <cfRule type="expression" dxfId="198" priority="195">
      <formula>IF(AND(NOT(ISBLANK($I45)),NOW()&gt;$I45,OR($O45="On-going",$O45="New")),TRUE,FALSE)</formula>
    </cfRule>
  </conditionalFormatting>
  <conditionalFormatting sqref="F45:F48 F54">
    <cfRule type="expression" dxfId="197" priority="194">
      <formula>IF(AND(NOT(ISBLANK(#REF!)),NOW()&gt;#REF!,OR(#REF!="On-going",#REF!="New")),TRUE,FALSE)</formula>
    </cfRule>
  </conditionalFormatting>
  <conditionalFormatting sqref="F49">
    <cfRule type="expression" dxfId="196" priority="193">
      <formula>IF(AND(NOT(ISBLANK($I49)),NOW()&gt;$I49,OR($O49="On-going",$O49="New")),TRUE,FALSE)</formula>
    </cfRule>
  </conditionalFormatting>
  <conditionalFormatting sqref="E50:E53">
    <cfRule type="expression" dxfId="195" priority="192">
      <formula>IF(AND(NOT(ISBLANK($I50)),NOW()&gt;$I50,OR($O50="On-going",$O50="New")),TRUE,FALSE)</formula>
    </cfRule>
  </conditionalFormatting>
  <conditionalFormatting sqref="F50:F53">
    <cfRule type="expression" dxfId="194" priority="191">
      <formula>IF(AND(NOT(ISBLANK($I50)),NOW()&gt;$I50,OR($O50="On-going",$O50="New")),TRUE,FALSE)</formula>
    </cfRule>
  </conditionalFormatting>
  <conditionalFormatting sqref="G44:G48">
    <cfRule type="expression" dxfId="193" priority="190">
      <formula>IF(AND(NOT(ISBLANK($I44)),NOW()&gt;$I44,OR($O44="On-going",$O44="New")),TRUE,FALSE)</formula>
    </cfRule>
  </conditionalFormatting>
  <conditionalFormatting sqref="G49:G53">
    <cfRule type="expression" dxfId="192" priority="189">
      <formula>IF(AND(NOT(ISBLANK($I49)),NOW()&gt;$I49,OR($O49="On-going",$O49="New")),TRUE,FALSE)</formula>
    </cfRule>
  </conditionalFormatting>
  <conditionalFormatting sqref="E55:E58">
    <cfRule type="expression" dxfId="191" priority="188">
      <formula>IF(AND(NOT(ISBLANK($I55)),NOW()&gt;$I55,OR($O55="On-going",$O55="New")),TRUE,FALSE)</formula>
    </cfRule>
  </conditionalFormatting>
  <conditionalFormatting sqref="F55:F58">
    <cfRule type="expression" dxfId="190" priority="187">
      <formula>IF(AND(NOT(ISBLANK(#REF!)),NOW()&gt;#REF!,OR(#REF!="On-going",#REF!="New")),TRUE,FALSE)</formula>
    </cfRule>
  </conditionalFormatting>
  <conditionalFormatting sqref="G54:G58">
    <cfRule type="expression" dxfId="189" priority="186">
      <formula>IF(AND(NOT(ISBLANK($I54)),NOW()&gt;$I54,OR($O54="On-going",$O54="New")),TRUE,FALSE)</formula>
    </cfRule>
  </conditionalFormatting>
  <conditionalFormatting sqref="B4 B11:B12 B21:B58 B9 B6:B7">
    <cfRule type="expression" dxfId="188" priority="185">
      <formula>IF(AND(NOT(ISBLANK($I4)),NOW()&gt;$I4,OR($O4="On-going",$O4="New")),TRUE,FALSE)</formula>
    </cfRule>
  </conditionalFormatting>
  <conditionalFormatting sqref="E59">
    <cfRule type="expression" dxfId="187" priority="184">
      <formula>IF(AND(NOT(ISBLANK($I59)),NOW()&gt;$I59,OR($O59="On-going",$O59="New")),TRUE,FALSE)</formula>
    </cfRule>
  </conditionalFormatting>
  <conditionalFormatting sqref="E60:E63">
    <cfRule type="expression" dxfId="186" priority="183">
      <formula>IF(AND(NOT(ISBLANK($I60)),NOW()&gt;$I60,OR($O60="On-going",$O60="New")),TRUE,FALSE)</formula>
    </cfRule>
  </conditionalFormatting>
  <conditionalFormatting sqref="E65:E68">
    <cfRule type="expression" dxfId="185" priority="182">
      <formula>IF(AND(NOT(ISBLANK($I65)),NOW()&gt;$I65,OR($O65="On-going",$O65="New")),TRUE,FALSE)</formula>
    </cfRule>
  </conditionalFormatting>
  <conditionalFormatting sqref="G64:G68">
    <cfRule type="expression" dxfId="184" priority="181">
      <formula>IF(AND(NOT(ISBLANK($I64)),NOW()&gt;$I64,OR($O64="On-going",$O64="New")),TRUE,FALSE)</formula>
    </cfRule>
  </conditionalFormatting>
  <conditionalFormatting sqref="G59:G63">
    <cfRule type="expression" dxfId="183" priority="180">
      <formula>IF(AND(NOT(ISBLANK($I59)),NOW()&gt;$I59,OR($O59="On-going",$O59="New")),TRUE,FALSE)</formula>
    </cfRule>
  </conditionalFormatting>
  <conditionalFormatting sqref="F74:F78">
    <cfRule type="expression" dxfId="182" priority="178">
      <formula>IF(AND(NOT(ISBLANK($I74)),NOW()&gt;$I74,OR($O74="On-going",$O74="New")),TRUE,FALSE)</formula>
    </cfRule>
  </conditionalFormatting>
  <conditionalFormatting sqref="G69:G73">
    <cfRule type="expression" dxfId="181" priority="177">
      <formula>IF(AND(NOT(ISBLANK($I69)),NOW()&gt;$I69,OR($O69="On-going",$O69="New")),TRUE,FALSE)</formula>
    </cfRule>
  </conditionalFormatting>
  <conditionalFormatting sqref="G74:G78">
    <cfRule type="expression" dxfId="180" priority="176">
      <formula>IF(AND(NOT(ISBLANK($I74)),NOW()&gt;$I74,OR($O74="On-going",$O74="New")),TRUE,FALSE)</formula>
    </cfRule>
  </conditionalFormatting>
  <conditionalFormatting sqref="F79">
    <cfRule type="expression" dxfId="179" priority="174">
      <formula>IF(AND(NOT(ISBLANK($I79)),NOW()&gt;$I79,OR($O79="On-going",$O79="New")),TRUE,FALSE)</formula>
    </cfRule>
  </conditionalFormatting>
  <conditionalFormatting sqref="H30:I35">
    <cfRule type="expression" dxfId="178" priority="171">
      <formula>IF(AND(NOT(ISBLANK($I30)),NOW()&gt;$I30,OR($O30="On-going",$O30="New")),TRUE,FALSE)</formula>
    </cfRule>
  </conditionalFormatting>
  <conditionalFormatting sqref="H36:I37">
    <cfRule type="expression" dxfId="177" priority="170">
      <formula>IF(AND(NOT(ISBLANK($I36)),NOW()&gt;$I36,OR($O36="On-going",$O36="New")),TRUE,FALSE)</formula>
    </cfRule>
  </conditionalFormatting>
  <conditionalFormatting sqref="H38:I38 H39">
    <cfRule type="expression" dxfId="176" priority="169">
      <formula>IF(AND(NOT(ISBLANK($I38)),NOW()&gt;$I38,OR($O38="On-going",$O38="New")),TRUE,FALSE)</formula>
    </cfRule>
  </conditionalFormatting>
  <conditionalFormatting sqref="I39">
    <cfRule type="expression" dxfId="175" priority="168">
      <formula>IF(AND(NOT(ISBLANK($I39)),NOW()&gt;$I39,OR($O39="On-going",$O39="New")),TRUE,FALSE)</formula>
    </cfRule>
  </conditionalFormatting>
  <conditionalFormatting sqref="H40:H48">
    <cfRule type="expression" dxfId="174" priority="167">
      <formula>IF(AND(NOT(ISBLANK($I40)),NOW()&gt;$I40,OR($O40="On-going",$O40="New")),TRUE,FALSE)</formula>
    </cfRule>
  </conditionalFormatting>
  <conditionalFormatting sqref="I40:I48">
    <cfRule type="expression" dxfId="173" priority="166">
      <formula>IF(AND(NOT(ISBLANK($I40)),NOW()&gt;$I40,OR($O40="On-going",$O40="New")),TRUE,FALSE)</formula>
    </cfRule>
  </conditionalFormatting>
  <conditionalFormatting sqref="H49">
    <cfRule type="expression" dxfId="172" priority="165">
      <formula>IF(AND(NOT(ISBLANK($I49)),NOW()&gt;$I49,OR($O49="On-going",$O49="New")),TRUE,FALSE)</formula>
    </cfRule>
  </conditionalFormatting>
  <conditionalFormatting sqref="I49">
    <cfRule type="expression" dxfId="171" priority="164">
      <formula>IF(AND(NOT(ISBLANK($I49)),NOW()&gt;$I49,OR($O49="On-going",$O49="New")),TRUE,FALSE)</formula>
    </cfRule>
  </conditionalFormatting>
  <conditionalFormatting sqref="H50:H53">
    <cfRule type="expression" dxfId="170" priority="163">
      <formula>IF(AND(NOT(ISBLANK($I50)),NOW()&gt;$I50,OR($O50="On-going",$O50="New")),TRUE,FALSE)</formula>
    </cfRule>
  </conditionalFormatting>
  <conditionalFormatting sqref="I50:I53">
    <cfRule type="expression" dxfId="169" priority="162">
      <formula>IF(AND(NOT(ISBLANK($I50)),NOW()&gt;$I50,OR($O50="On-going",$O50="New")),TRUE,FALSE)</formula>
    </cfRule>
  </conditionalFormatting>
  <conditionalFormatting sqref="H54">
    <cfRule type="expression" dxfId="168" priority="161">
      <formula>IF(AND(NOT(ISBLANK($I54)),NOW()&gt;$I54,OR($O54="On-going",$O54="New")),TRUE,FALSE)</formula>
    </cfRule>
  </conditionalFormatting>
  <conditionalFormatting sqref="I54">
    <cfRule type="expression" dxfId="167" priority="160">
      <formula>IF(AND(NOT(ISBLANK($I54)),NOW()&gt;$I54,OR($O54="On-going",$O54="New")),TRUE,FALSE)</formula>
    </cfRule>
  </conditionalFormatting>
  <conditionalFormatting sqref="H55:H59">
    <cfRule type="expression" dxfId="166" priority="159">
      <formula>IF(AND(NOT(ISBLANK($I55)),NOW()&gt;$I55,OR($O55="On-going",$O55="New")),TRUE,FALSE)</formula>
    </cfRule>
  </conditionalFormatting>
  <conditionalFormatting sqref="I55:I58">
    <cfRule type="expression" dxfId="165" priority="158">
      <formula>IF(AND(NOT(ISBLANK($I55)),NOW()&gt;$I55,OR($O55="On-going",$O55="New")),TRUE,FALSE)</formula>
    </cfRule>
  </conditionalFormatting>
  <conditionalFormatting sqref="I59">
    <cfRule type="expression" dxfId="164" priority="157">
      <formula>IF(AND(NOT(ISBLANK($I59)),NOW()&gt;$I59,OR($O59="On-going",$O59="New")),TRUE,FALSE)</formula>
    </cfRule>
  </conditionalFormatting>
  <conditionalFormatting sqref="H60:H63">
    <cfRule type="expression" dxfId="163" priority="156">
      <formula>IF(AND(NOT(ISBLANK($I60)),NOW()&gt;$I60,OR($O60="On-going",$O60="New")),TRUE,FALSE)</formula>
    </cfRule>
  </conditionalFormatting>
  <conditionalFormatting sqref="I60:I63">
    <cfRule type="expression" dxfId="162" priority="155">
      <formula>IF(AND(NOT(ISBLANK($I60)),NOW()&gt;$I60,OR($O60="On-going",$O60="New")),TRUE,FALSE)</formula>
    </cfRule>
  </conditionalFormatting>
  <conditionalFormatting sqref="H64">
    <cfRule type="expression" dxfId="161" priority="154">
      <formula>IF(AND(NOT(ISBLANK($I64)),NOW()&gt;$I64,OR($O64="On-going",$O64="New")),TRUE,FALSE)</formula>
    </cfRule>
  </conditionalFormatting>
  <conditionalFormatting sqref="I64">
    <cfRule type="expression" dxfId="160" priority="153">
      <formula>IF(AND(NOT(ISBLANK($I64)),NOW()&gt;$I64,OR($O64="On-going",$O64="New")),TRUE,FALSE)</formula>
    </cfRule>
  </conditionalFormatting>
  <conditionalFormatting sqref="H65:H69">
    <cfRule type="expression" dxfId="159" priority="152">
      <formula>IF(AND(NOT(ISBLANK($I65)),NOW()&gt;$I65,OR($O65="On-going",$O65="New")),TRUE,FALSE)</formula>
    </cfRule>
  </conditionalFormatting>
  <conditionalFormatting sqref="I65:I68">
    <cfRule type="expression" dxfId="158" priority="151">
      <formula>IF(AND(NOT(ISBLANK($I65)),NOW()&gt;$I65,OR($O65="On-going",$O65="New")),TRUE,FALSE)</formula>
    </cfRule>
  </conditionalFormatting>
  <conditionalFormatting sqref="I69">
    <cfRule type="expression" dxfId="157" priority="150">
      <formula>IF(AND(NOT(ISBLANK($I69)),NOW()&gt;$I69,OR($O69="On-going",$O69="New")),TRUE,FALSE)</formula>
    </cfRule>
  </conditionalFormatting>
  <conditionalFormatting sqref="H70:H74">
    <cfRule type="expression" dxfId="156" priority="149">
      <formula>IF(AND(NOT(ISBLANK($I70)),NOW()&gt;$I70,OR($O70="On-going",$O70="New")),TRUE,FALSE)</formula>
    </cfRule>
  </conditionalFormatting>
  <conditionalFormatting sqref="I70:I73">
    <cfRule type="expression" dxfId="155" priority="148">
      <formula>IF(AND(NOT(ISBLANK($I70)),NOW()&gt;$I70,OR($O70="On-going",$O70="New")),TRUE,FALSE)</formula>
    </cfRule>
  </conditionalFormatting>
  <conditionalFormatting sqref="I74">
    <cfRule type="expression" dxfId="154" priority="147">
      <formula>IF(AND(NOT(ISBLANK($I74)),NOW()&gt;$I74,OR($O74="On-going",$O74="New")),TRUE,FALSE)</formula>
    </cfRule>
  </conditionalFormatting>
  <conditionalFormatting sqref="H75:H78">
    <cfRule type="expression" dxfId="153" priority="146">
      <formula>IF(AND(NOT(ISBLANK($I75)),NOW()&gt;$I75,OR($O75="On-going",$O75="New")),TRUE,FALSE)</formula>
    </cfRule>
  </conditionalFormatting>
  <conditionalFormatting sqref="I75:I78">
    <cfRule type="expression" dxfId="152" priority="145">
      <formula>IF(AND(NOT(ISBLANK($I75)),NOW()&gt;$I75,OR($O75="On-going",$O75="New")),TRUE,FALSE)</formula>
    </cfRule>
  </conditionalFormatting>
  <conditionalFormatting sqref="A128:A129">
    <cfRule type="expression" dxfId="151" priority="10305">
      <formula>IF(AND(NOT(ISBLANK($I78)),NOW()&gt;$I78,OR($O78="On-going",$O78="New")),TRUE,FALSE)</formula>
    </cfRule>
  </conditionalFormatting>
  <conditionalFormatting sqref="A4 A21:A127 A9:A12 A6:A7">
    <cfRule type="expression" dxfId="150" priority="10308">
      <formula>IF(AND(NOT(ISBLANK(#REF!)),NOW()&gt;#REF!,OR(#REF!="On-going",#REF!="New")),TRUE,FALSE)</formula>
    </cfRule>
  </conditionalFormatting>
  <conditionalFormatting sqref="L4:N4 N30:N63 L79:M83 N65:N83 L11:N12 L21:N29 L9:N9 L6:N7">
    <cfRule type="expression" dxfId="149" priority="143">
      <formula>IF(AND(NOT(ISBLANK($I4)),NOW()&gt;$I4,OR($O4="On-going",$O4="New")),TRUE,FALSE)</formula>
    </cfRule>
  </conditionalFormatting>
  <conditionalFormatting sqref="N63">
    <cfRule type="expression" dxfId="148" priority="142">
      <formula>IF(AND(NOT(ISBLANK($I63)),NOW()&gt;$I63,OR($O63="On-going",$O63="New")),TRUE,FALSE)</formula>
    </cfRule>
  </conditionalFormatting>
  <conditionalFormatting sqref="N64:N68">
    <cfRule type="expression" dxfId="147" priority="141">
      <formula>IF(AND(NOT(ISBLANK($I64)),NOW()&gt;$I64,OR($O64="On-going",$O64="New")),TRUE,FALSE)</formula>
    </cfRule>
  </conditionalFormatting>
  <conditionalFormatting sqref="L30:M35">
    <cfRule type="expression" dxfId="146" priority="140">
      <formula>IF(AND(NOT(ISBLANK($I30)),NOW()&gt;$I30,OR($O30="On-going",$O30="New")),TRUE,FALSE)</formula>
    </cfRule>
  </conditionalFormatting>
  <conditionalFormatting sqref="L36:M37">
    <cfRule type="expression" dxfId="145" priority="139">
      <formula>IF(AND(NOT(ISBLANK($I36)),NOW()&gt;$I36,OR($O36="On-going",$O36="New")),TRUE,FALSE)</formula>
    </cfRule>
  </conditionalFormatting>
  <conditionalFormatting sqref="L38:M38 L39">
    <cfRule type="expression" dxfId="144" priority="138">
      <formula>IF(AND(NOT(ISBLANK($I38)),NOW()&gt;$I38,OR($O38="On-going",$O38="New")),TRUE,FALSE)</formula>
    </cfRule>
  </conditionalFormatting>
  <conditionalFormatting sqref="M39">
    <cfRule type="expression" dxfId="143" priority="137">
      <formula>IF(AND(NOT(ISBLANK($I39)),NOW()&gt;$I39,OR($O39="On-going",$O39="New")),TRUE,FALSE)</formula>
    </cfRule>
  </conditionalFormatting>
  <conditionalFormatting sqref="L40:L48">
    <cfRule type="expression" dxfId="142" priority="136">
      <formula>IF(AND(NOT(ISBLANK($I40)),NOW()&gt;$I40,OR($O40="On-going",$O40="New")),TRUE,FALSE)</formula>
    </cfRule>
  </conditionalFormatting>
  <conditionalFormatting sqref="M40:M48">
    <cfRule type="expression" dxfId="141" priority="135">
      <formula>IF(AND(NOT(ISBLANK($I40)),NOW()&gt;$I40,OR($O40="On-going",$O40="New")),TRUE,FALSE)</formula>
    </cfRule>
  </conditionalFormatting>
  <conditionalFormatting sqref="L49">
    <cfRule type="expression" dxfId="140" priority="134">
      <formula>IF(AND(NOT(ISBLANK($I49)),NOW()&gt;$I49,OR($O49="On-going",$O49="New")),TRUE,FALSE)</formula>
    </cfRule>
  </conditionalFormatting>
  <conditionalFormatting sqref="M49">
    <cfRule type="expression" dxfId="139" priority="133">
      <formula>IF(AND(NOT(ISBLANK($I49)),NOW()&gt;$I49,OR($O49="On-going",$O49="New")),TRUE,FALSE)</formula>
    </cfRule>
  </conditionalFormatting>
  <conditionalFormatting sqref="L50:L53">
    <cfRule type="expression" dxfId="138" priority="132">
      <formula>IF(AND(NOT(ISBLANK($I50)),NOW()&gt;$I50,OR($O50="On-going",$O50="New")),TRUE,FALSE)</formula>
    </cfRule>
  </conditionalFormatting>
  <conditionalFormatting sqref="M50:M53">
    <cfRule type="expression" dxfId="137" priority="131">
      <formula>IF(AND(NOT(ISBLANK($I50)),NOW()&gt;$I50,OR($O50="On-going",$O50="New")),TRUE,FALSE)</formula>
    </cfRule>
  </conditionalFormatting>
  <conditionalFormatting sqref="L54">
    <cfRule type="expression" dxfId="136" priority="130">
      <formula>IF(AND(NOT(ISBLANK($I54)),NOW()&gt;$I54,OR($O54="On-going",$O54="New")),TRUE,FALSE)</formula>
    </cfRule>
  </conditionalFormatting>
  <conditionalFormatting sqref="M54">
    <cfRule type="expression" dxfId="135" priority="129">
      <formula>IF(AND(NOT(ISBLANK($I54)),NOW()&gt;$I54,OR($O54="On-going",$O54="New")),TRUE,FALSE)</formula>
    </cfRule>
  </conditionalFormatting>
  <conditionalFormatting sqref="L55:L59">
    <cfRule type="expression" dxfId="134" priority="128">
      <formula>IF(AND(NOT(ISBLANK($I55)),NOW()&gt;$I55,OR($O55="On-going",$O55="New")),TRUE,FALSE)</formula>
    </cfRule>
  </conditionalFormatting>
  <conditionalFormatting sqref="M55:M58">
    <cfRule type="expression" dxfId="133" priority="127">
      <formula>IF(AND(NOT(ISBLANK($I55)),NOW()&gt;$I55,OR($O55="On-going",$O55="New")),TRUE,FALSE)</formula>
    </cfRule>
  </conditionalFormatting>
  <conditionalFormatting sqref="M59">
    <cfRule type="expression" dxfId="132" priority="126">
      <formula>IF(AND(NOT(ISBLANK($I59)),NOW()&gt;$I59,OR($O59="On-going",$O59="New")),TRUE,FALSE)</formula>
    </cfRule>
  </conditionalFormatting>
  <conditionalFormatting sqref="L60:L63">
    <cfRule type="expression" dxfId="131" priority="125">
      <formula>IF(AND(NOT(ISBLANK($I60)),NOW()&gt;$I60,OR($O60="On-going",$O60="New")),TRUE,FALSE)</formula>
    </cfRule>
  </conditionalFormatting>
  <conditionalFormatting sqref="M60:M63">
    <cfRule type="expression" dxfId="130" priority="124">
      <formula>IF(AND(NOT(ISBLANK($I60)),NOW()&gt;$I60,OR($O60="On-going",$O60="New")),TRUE,FALSE)</formula>
    </cfRule>
  </conditionalFormatting>
  <conditionalFormatting sqref="L64">
    <cfRule type="expression" dxfId="129" priority="123">
      <formula>IF(AND(NOT(ISBLANK($I64)),NOW()&gt;$I64,OR($O64="On-going",$O64="New")),TRUE,FALSE)</formula>
    </cfRule>
  </conditionalFormatting>
  <conditionalFormatting sqref="M64">
    <cfRule type="expression" dxfId="128" priority="122">
      <formula>IF(AND(NOT(ISBLANK($I64)),NOW()&gt;$I64,OR($O64="On-going",$O64="New")),TRUE,FALSE)</formula>
    </cfRule>
  </conditionalFormatting>
  <conditionalFormatting sqref="L65:L69">
    <cfRule type="expression" dxfId="127" priority="121">
      <formula>IF(AND(NOT(ISBLANK($I65)),NOW()&gt;$I65,OR($O65="On-going",$O65="New")),TRUE,FALSE)</formula>
    </cfRule>
  </conditionalFormatting>
  <conditionalFormatting sqref="M65:M68">
    <cfRule type="expression" dxfId="126" priority="120">
      <formula>IF(AND(NOT(ISBLANK($I65)),NOW()&gt;$I65,OR($O65="On-going",$O65="New")),TRUE,FALSE)</formula>
    </cfRule>
  </conditionalFormatting>
  <conditionalFormatting sqref="M69">
    <cfRule type="expression" dxfId="125" priority="119">
      <formula>IF(AND(NOT(ISBLANK($I69)),NOW()&gt;$I69,OR($O69="On-going",$O69="New")),TRUE,FALSE)</formula>
    </cfRule>
  </conditionalFormatting>
  <conditionalFormatting sqref="L70:L74">
    <cfRule type="expression" dxfId="124" priority="118">
      <formula>IF(AND(NOT(ISBLANK($I70)),NOW()&gt;$I70,OR($O70="On-going",$O70="New")),TRUE,FALSE)</formula>
    </cfRule>
  </conditionalFormatting>
  <conditionalFormatting sqref="M70:M73">
    <cfRule type="expression" dxfId="123" priority="117">
      <formula>IF(AND(NOT(ISBLANK($I70)),NOW()&gt;$I70,OR($O70="On-going",$O70="New")),TRUE,FALSE)</formula>
    </cfRule>
  </conditionalFormatting>
  <conditionalFormatting sqref="M74">
    <cfRule type="expression" dxfId="122" priority="116">
      <formula>IF(AND(NOT(ISBLANK($I74)),NOW()&gt;$I74,OR($O74="On-going",$O74="New")),TRUE,FALSE)</formula>
    </cfRule>
  </conditionalFormatting>
  <conditionalFormatting sqref="L75:L78">
    <cfRule type="expression" dxfId="121" priority="115">
      <formula>IF(AND(NOT(ISBLANK($I75)),NOW()&gt;$I75,OR($O75="On-going",$O75="New")),TRUE,FALSE)</formula>
    </cfRule>
  </conditionalFormatting>
  <conditionalFormatting sqref="M75:M78">
    <cfRule type="expression" dxfId="120" priority="114">
      <formula>IF(AND(NOT(ISBLANK($I75)),NOW()&gt;$I75,OR($O75="On-going",$O75="New")),TRUE,FALSE)</formula>
    </cfRule>
  </conditionalFormatting>
  <conditionalFormatting sqref="O36:O83">
    <cfRule type="expression" dxfId="119" priority="113">
      <formula>IF(AND(NOT(ISBLANK($I36)),NOW()&gt;$I36,OR($O36="On-going",$O36="New")),TRUE,FALSE)</formula>
    </cfRule>
  </conditionalFormatting>
  <conditionalFormatting sqref="L89">
    <cfRule type="expression" dxfId="118" priority="112">
      <formula>IF(AND(NOT(ISBLANK($I89)),NOW()&gt;$I89,OR($O89="On-going",$O89="New")),TRUE,FALSE)</formula>
    </cfRule>
  </conditionalFormatting>
  <conditionalFormatting sqref="M89">
    <cfRule type="expression" dxfId="117" priority="111">
      <formula>IF(AND(NOT(ISBLANK($I89)),NOW()&gt;$I89,OR($O89="On-going",$O89="New")),TRUE,FALSE)</formula>
    </cfRule>
  </conditionalFormatting>
  <conditionalFormatting sqref="E125 E91:F124">
    <cfRule type="expression" dxfId="116" priority="110">
      <formula>IF(AND(NOT(ISBLANK($I91)),NOW()&gt;$I91,OR($O91="On-going",$O91="New")),TRUE,FALSE)</formula>
    </cfRule>
  </conditionalFormatting>
  <conditionalFormatting sqref="G122:G123">
    <cfRule type="expression" dxfId="115" priority="10310">
      <formula>IF(AND(NOT(ISBLANK($I127)),NOW()&gt;$I127,OR($O127="On-going",$O127="New")),TRUE,FALSE)</formula>
    </cfRule>
  </conditionalFormatting>
  <conditionalFormatting sqref="G125:G127">
    <cfRule type="expression" dxfId="114" priority="109">
      <formula>IF(AND(NOT(ISBLANK($I125)),NOW()&gt;$I125,OR($O125="On-going",$O125="New")),TRUE,FALSE)</formula>
    </cfRule>
  </conditionalFormatting>
  <conditionalFormatting sqref="F125:F127">
    <cfRule type="expression" dxfId="113" priority="108">
      <formula>IF(AND(NOT(ISBLANK($I125)),NOW()&gt;$I125,OR($O125="On-going",$O125="New")),TRUE,FALSE)</formula>
    </cfRule>
  </conditionalFormatting>
  <conditionalFormatting sqref="G121">
    <cfRule type="expression" dxfId="112" priority="10311">
      <formula>IF(AND(NOT(ISBLANK($I128)),NOW()&gt;$I128,OR($O128="On-going",$O128="New")),TRUE,FALSE)</formula>
    </cfRule>
  </conditionalFormatting>
  <conditionalFormatting sqref="G105 G110">
    <cfRule type="expression" dxfId="111" priority="10313">
      <formula>IF(AND(NOT(ISBLANK($I126)),NOW()&gt;$I126,OR($O126="On-going",$O126="New")),TRUE,FALSE)</formula>
    </cfRule>
  </conditionalFormatting>
  <conditionalFormatting sqref="G106:G109">
    <cfRule type="expression" dxfId="110" priority="106">
      <formula>IF(AND(NOT(ISBLANK($I106)),NOW()&gt;$I106,OR($O106="On-going",$O106="New")),TRUE,FALSE)</formula>
    </cfRule>
  </conditionalFormatting>
  <conditionalFormatting sqref="G115">
    <cfRule type="expression" dxfId="109" priority="105">
      <formula>IF(AND(NOT(ISBLANK($I136)),NOW()&gt;$I136,OR($O136="On-going",$O136="New")),TRUE,FALSE)</formula>
    </cfRule>
  </conditionalFormatting>
  <conditionalFormatting sqref="G111:G114">
    <cfRule type="expression" dxfId="108" priority="104">
      <formula>IF(AND(NOT(ISBLANK($I111)),NOW()&gt;$I111,OR($O111="On-going",$O111="New")),TRUE,FALSE)</formula>
    </cfRule>
  </conditionalFormatting>
  <conditionalFormatting sqref="G120">
    <cfRule type="expression" dxfId="107" priority="103">
      <formula>IF(AND(NOT(ISBLANK($I141)),NOW()&gt;$I141,OR($O141="On-going",$O141="New")),TRUE,FALSE)</formula>
    </cfRule>
  </conditionalFormatting>
  <conditionalFormatting sqref="G116:G119">
    <cfRule type="expression" dxfId="106" priority="102">
      <formula>IF(AND(NOT(ISBLANK($I116)),NOW()&gt;$I116,OR($O116="On-going",$O116="New")),TRUE,FALSE)</formula>
    </cfRule>
  </conditionalFormatting>
  <conditionalFormatting sqref="O10:U10 C10:E10 G10:K10">
    <cfRule type="expression" dxfId="105" priority="99">
      <formula>IF(AND(NOT(ISBLANK($I10)),NOW()&gt;$I10,OR($O10="On-going",$O10="New")),TRUE,FALSE)</formula>
    </cfRule>
  </conditionalFormatting>
  <conditionalFormatting sqref="F10">
    <cfRule type="expression" dxfId="104" priority="100">
      <formula>IF(AND(NOT(ISBLANK(#REF!)),NOW()&gt;#REF!,OR(#REF!="On-going",#REF!="New")),TRUE,FALSE)</formula>
    </cfRule>
  </conditionalFormatting>
  <conditionalFormatting sqref="B10">
    <cfRule type="expression" dxfId="103" priority="98">
      <formula>IF(AND(NOT(ISBLANK($I10)),NOW()&gt;$I10,OR($O10="On-going",$O10="New")),TRUE,FALSE)</formula>
    </cfRule>
  </conditionalFormatting>
  <conditionalFormatting sqref="L10:N10">
    <cfRule type="expression" dxfId="102" priority="97">
      <formula>IF(AND(NOT(ISBLANK($I10)),NOW()&gt;$I10,OR($O10="On-going",$O10="New")),TRUE,FALSE)</formula>
    </cfRule>
  </conditionalFormatting>
  <conditionalFormatting sqref="C13:D13 J13:K13 O13:U13">
    <cfRule type="expression" dxfId="101" priority="94">
      <formula>IF(AND(NOT(ISBLANK($I13)),NOW()&gt;$I13,OR($O13="On-going",$O13="New")),TRUE,FALSE)</formula>
    </cfRule>
  </conditionalFormatting>
  <conditionalFormatting sqref="E13">
    <cfRule type="expression" dxfId="100" priority="93">
      <formula>IF(AND(NOT(ISBLANK($I13)),NOW()&gt;$I13,OR($O13="On-going",$O13="New")),TRUE,FALSE)</formula>
    </cfRule>
  </conditionalFormatting>
  <conditionalFormatting sqref="B13">
    <cfRule type="expression" dxfId="99" priority="92">
      <formula>IF(AND(NOT(ISBLANK($I13)),NOW()&gt;$I13,OR($O13="On-going",$O13="New")),TRUE,FALSE)</formula>
    </cfRule>
  </conditionalFormatting>
  <conditionalFormatting sqref="A13">
    <cfRule type="expression" dxfId="98" priority="95">
      <formula>IF(AND(NOT(ISBLANK(#REF!)),NOW()&gt;#REF!,OR(#REF!="On-going",#REF!="New")),TRUE,FALSE)</formula>
    </cfRule>
  </conditionalFormatting>
  <conditionalFormatting sqref="L13:N13">
    <cfRule type="expression" dxfId="97" priority="91">
      <formula>IF(AND(NOT(ISBLANK($I13)),NOW()&gt;$I13,OR($O13="On-going",$O13="New")),TRUE,FALSE)</formula>
    </cfRule>
  </conditionalFormatting>
  <conditionalFormatting sqref="F13">
    <cfRule type="expression" dxfId="96" priority="90">
      <formula>IF(AND(NOT(ISBLANK(#REF!)),NOW()&gt;#REF!,OR(#REF!="On-going",#REF!="New")),TRUE,FALSE)</formula>
    </cfRule>
  </conditionalFormatting>
  <conditionalFormatting sqref="C16:D16 J16:K16 O16:U16">
    <cfRule type="expression" dxfId="95" priority="88">
      <formula>IF(AND(NOT(ISBLANK($I16)),NOW()&gt;$I16,OR($O16="On-going",$O16="New")),TRUE,FALSE)</formula>
    </cfRule>
  </conditionalFormatting>
  <conditionalFormatting sqref="E16">
    <cfRule type="expression" dxfId="94" priority="87">
      <formula>IF(AND(NOT(ISBLANK($I16)),NOW()&gt;$I16,OR($O16="On-going",$O16="New")),TRUE,FALSE)</formula>
    </cfRule>
  </conditionalFormatting>
  <conditionalFormatting sqref="B16">
    <cfRule type="expression" dxfId="93" priority="86">
      <formula>IF(AND(NOT(ISBLANK($I16)),NOW()&gt;$I16,OR($O16="On-going",$O16="New")),TRUE,FALSE)</formula>
    </cfRule>
  </conditionalFormatting>
  <conditionalFormatting sqref="A16">
    <cfRule type="expression" dxfId="92" priority="89">
      <formula>IF(AND(NOT(ISBLANK(#REF!)),NOW()&gt;#REF!,OR(#REF!="On-going",#REF!="New")),TRUE,FALSE)</formula>
    </cfRule>
  </conditionalFormatting>
  <conditionalFormatting sqref="L16:N16">
    <cfRule type="expression" dxfId="91" priority="85">
      <formula>IF(AND(NOT(ISBLANK($I16)),NOW()&gt;$I16,OR($O16="On-going",$O16="New")),TRUE,FALSE)</formula>
    </cfRule>
  </conditionalFormatting>
  <conditionalFormatting sqref="F16">
    <cfRule type="expression" dxfId="90" priority="84">
      <formula>IF(AND(NOT(ISBLANK(#REF!)),NOW()&gt;#REF!,OR(#REF!="On-going",#REF!="New")),TRUE,FALSE)</formula>
    </cfRule>
  </conditionalFormatting>
  <conditionalFormatting sqref="F21">
    <cfRule type="expression" dxfId="89" priority="83">
      <formula>IF(AND(NOT(ISBLANK(#REF!)),NOW()&gt;#REF!,OR(#REF!="On-going",#REF!="New")),TRUE,FALSE)</formula>
    </cfRule>
  </conditionalFormatting>
  <conditionalFormatting sqref="H11:I11">
    <cfRule type="expression" dxfId="88" priority="82">
      <formula>IF(AND(NOT(ISBLANK($I11)),NOW()&gt;$I11,OR($O11="On-going",$O11="New")),TRUE,FALSE)</formula>
    </cfRule>
  </conditionalFormatting>
  <conditionalFormatting sqref="C20:D20 J20:K20 O20:U20">
    <cfRule type="expression" dxfId="87" priority="80">
      <formula>IF(AND(NOT(ISBLANK($I20)),NOW()&gt;$I20,OR($O20="On-going",$O20="New")),TRUE,FALSE)</formula>
    </cfRule>
  </conditionalFormatting>
  <conditionalFormatting sqref="E20">
    <cfRule type="expression" dxfId="86" priority="79">
      <formula>IF(AND(NOT(ISBLANK($I20)),NOW()&gt;$I20,OR($O20="On-going",$O20="New")),TRUE,FALSE)</formula>
    </cfRule>
  </conditionalFormatting>
  <conditionalFormatting sqref="B20">
    <cfRule type="expression" dxfId="85" priority="78">
      <formula>IF(AND(NOT(ISBLANK($I20)),NOW()&gt;$I20,OR($O20="On-going",$O20="New")),TRUE,FALSE)</formula>
    </cfRule>
  </conditionalFormatting>
  <conditionalFormatting sqref="A20">
    <cfRule type="expression" dxfId="84" priority="81">
      <formula>IF(AND(NOT(ISBLANK(#REF!)),NOW()&gt;#REF!,OR(#REF!="On-going",#REF!="New")),TRUE,FALSE)</formula>
    </cfRule>
  </conditionalFormatting>
  <conditionalFormatting sqref="L20:N20">
    <cfRule type="expression" dxfId="83" priority="77">
      <formula>IF(AND(NOT(ISBLANK($I20)),NOW()&gt;$I20,OR($O20="On-going",$O20="New")),TRUE,FALSE)</formula>
    </cfRule>
  </conditionalFormatting>
  <conditionalFormatting sqref="F20">
    <cfRule type="expression" dxfId="82" priority="76">
      <formula>IF(AND(NOT(ISBLANK(#REF!)),NOW()&gt;#REF!,OR(#REF!="On-going",#REF!="New")),TRUE,FALSE)</formula>
    </cfRule>
  </conditionalFormatting>
  <conditionalFormatting sqref="C19:D19 J19:K19 O19:U19">
    <cfRule type="expression" dxfId="81" priority="74">
      <formula>IF(AND(NOT(ISBLANK($I19)),NOW()&gt;$I19,OR($O19="On-going",$O19="New")),TRUE,FALSE)</formula>
    </cfRule>
  </conditionalFormatting>
  <conditionalFormatting sqref="E19">
    <cfRule type="expression" dxfId="80" priority="73">
      <formula>IF(AND(NOT(ISBLANK($I19)),NOW()&gt;$I19,OR($O19="On-going",$O19="New")),TRUE,FALSE)</formula>
    </cfRule>
  </conditionalFormatting>
  <conditionalFormatting sqref="B19">
    <cfRule type="expression" dxfId="79" priority="72">
      <formula>IF(AND(NOT(ISBLANK($I19)),NOW()&gt;$I19,OR($O19="On-going",$O19="New")),TRUE,FALSE)</formula>
    </cfRule>
  </conditionalFormatting>
  <conditionalFormatting sqref="A19">
    <cfRule type="expression" dxfId="78" priority="75">
      <formula>IF(AND(NOT(ISBLANK(#REF!)),NOW()&gt;#REF!,OR(#REF!="On-going",#REF!="New")),TRUE,FALSE)</formula>
    </cfRule>
  </conditionalFormatting>
  <conditionalFormatting sqref="L19:N19">
    <cfRule type="expression" dxfId="77" priority="71">
      <formula>IF(AND(NOT(ISBLANK($I19)),NOW()&gt;$I19,OR($O19="On-going",$O19="New")),TRUE,FALSE)</formula>
    </cfRule>
  </conditionalFormatting>
  <conditionalFormatting sqref="F19">
    <cfRule type="expression" dxfId="76" priority="70">
      <formula>IF(AND(NOT(ISBLANK(#REF!)),NOW()&gt;#REF!,OR(#REF!="On-going",#REF!="New")),TRUE,FALSE)</formula>
    </cfRule>
  </conditionalFormatting>
  <conditionalFormatting sqref="C14:D14 J14:K14 O14:U14">
    <cfRule type="expression" dxfId="75" priority="68">
      <formula>IF(AND(NOT(ISBLANK($I14)),NOW()&gt;$I14,OR($O14="On-going",$O14="New")),TRUE,FALSE)</formula>
    </cfRule>
  </conditionalFormatting>
  <conditionalFormatting sqref="E14">
    <cfRule type="expression" dxfId="74" priority="67">
      <formula>IF(AND(NOT(ISBLANK($I14)),NOW()&gt;$I14,OR($O14="On-going",$O14="New")),TRUE,FALSE)</formula>
    </cfRule>
  </conditionalFormatting>
  <conditionalFormatting sqref="B14">
    <cfRule type="expression" dxfId="73" priority="66">
      <formula>IF(AND(NOT(ISBLANK($I14)),NOW()&gt;$I14,OR($O14="On-going",$O14="New")),TRUE,FALSE)</formula>
    </cfRule>
  </conditionalFormatting>
  <conditionalFormatting sqref="A14">
    <cfRule type="expression" dxfId="72" priority="69">
      <formula>IF(AND(NOT(ISBLANK(#REF!)),NOW()&gt;#REF!,OR(#REF!="On-going",#REF!="New")),TRUE,FALSE)</formula>
    </cfRule>
  </conditionalFormatting>
  <conditionalFormatting sqref="L14:N14">
    <cfRule type="expression" dxfId="71" priority="65">
      <formula>IF(AND(NOT(ISBLANK($I14)),NOW()&gt;$I14,OR($O14="On-going",$O14="New")),TRUE,FALSE)</formula>
    </cfRule>
  </conditionalFormatting>
  <conditionalFormatting sqref="F14">
    <cfRule type="expression" dxfId="70" priority="64">
      <formula>IF(AND(NOT(ISBLANK(#REF!)),NOW()&gt;#REF!,OR(#REF!="On-going",#REF!="New")),TRUE,FALSE)</formula>
    </cfRule>
  </conditionalFormatting>
  <conditionalFormatting sqref="C15:D15 J15:K15 O15:U15">
    <cfRule type="expression" dxfId="69" priority="62">
      <formula>IF(AND(NOT(ISBLANK($I15)),NOW()&gt;$I15,OR($O15="On-going",$O15="New")),TRUE,FALSE)</formula>
    </cfRule>
  </conditionalFormatting>
  <conditionalFormatting sqref="E15">
    <cfRule type="expression" dxfId="68" priority="61">
      <formula>IF(AND(NOT(ISBLANK($I15)),NOW()&gt;$I15,OR($O15="On-going",$O15="New")),TRUE,FALSE)</formula>
    </cfRule>
  </conditionalFormatting>
  <conditionalFormatting sqref="B15">
    <cfRule type="expression" dxfId="67" priority="60">
      <formula>IF(AND(NOT(ISBLANK($I15)),NOW()&gt;$I15,OR($O15="On-going",$O15="New")),TRUE,FALSE)</formula>
    </cfRule>
  </conditionalFormatting>
  <conditionalFormatting sqref="A15">
    <cfRule type="expression" dxfId="66" priority="63">
      <formula>IF(AND(NOT(ISBLANK(#REF!)),NOW()&gt;#REF!,OR(#REF!="On-going",#REF!="New")),TRUE,FALSE)</formula>
    </cfRule>
  </conditionalFormatting>
  <conditionalFormatting sqref="L15:N15">
    <cfRule type="expression" dxfId="65" priority="59">
      <formula>IF(AND(NOT(ISBLANK($I15)),NOW()&gt;$I15,OR($O15="On-going",$O15="New")),TRUE,FALSE)</formula>
    </cfRule>
  </conditionalFormatting>
  <conditionalFormatting sqref="F15">
    <cfRule type="expression" dxfId="64" priority="58">
      <formula>IF(AND(NOT(ISBLANK(#REF!)),NOW()&gt;#REF!,OR(#REF!="On-going",#REF!="New")),TRUE,FALSE)</formula>
    </cfRule>
  </conditionalFormatting>
  <conditionalFormatting sqref="C17:D17 I17:K17 O17:U17">
    <cfRule type="expression" dxfId="63" priority="56">
      <formula>IF(AND(NOT(ISBLANK($I17)),NOW()&gt;$I17,OR($O17="On-going",$O17="New")),TRUE,FALSE)</formula>
    </cfRule>
  </conditionalFormatting>
  <conditionalFormatting sqref="E17">
    <cfRule type="expression" dxfId="62" priority="55">
      <formula>IF(AND(NOT(ISBLANK($I17)),NOW()&gt;$I17,OR($O17="On-going",$O17="New")),TRUE,FALSE)</formula>
    </cfRule>
  </conditionalFormatting>
  <conditionalFormatting sqref="B17">
    <cfRule type="expression" dxfId="61" priority="54">
      <formula>IF(AND(NOT(ISBLANK($I17)),NOW()&gt;$I17,OR($O17="On-going",$O17="New")),TRUE,FALSE)</formula>
    </cfRule>
  </conditionalFormatting>
  <conditionalFormatting sqref="A17">
    <cfRule type="expression" dxfId="60" priority="57">
      <formula>IF(AND(NOT(ISBLANK(#REF!)),NOW()&gt;#REF!,OR(#REF!="On-going",#REF!="New")),TRUE,FALSE)</formula>
    </cfRule>
  </conditionalFormatting>
  <conditionalFormatting sqref="L17:N17">
    <cfRule type="expression" dxfId="59" priority="53">
      <formula>IF(AND(NOT(ISBLANK($I17)),NOW()&gt;$I17,OR($O17="On-going",$O17="New")),TRUE,FALSE)</formula>
    </cfRule>
  </conditionalFormatting>
  <conditionalFormatting sqref="F17">
    <cfRule type="expression" dxfId="58" priority="52">
      <formula>IF(AND(NOT(ISBLANK(#REF!)),NOW()&gt;#REF!,OR(#REF!="On-going",#REF!="New")),TRUE,FALSE)</formula>
    </cfRule>
  </conditionalFormatting>
  <conditionalFormatting sqref="C8:E8 O8:U8 G8:K8">
    <cfRule type="expression" dxfId="57" priority="49">
      <formula>IF(AND(NOT(ISBLANK($I8)),NOW()&gt;$I8,OR($O8="On-going",$O8="New")),TRUE,FALSE)</formula>
    </cfRule>
  </conditionalFormatting>
  <conditionalFormatting sqref="F8">
    <cfRule type="expression" dxfId="56" priority="50">
      <formula>IF(AND(NOT(ISBLANK(#REF!)),NOW()&gt;#REF!,OR(#REF!="On-going",#REF!="New")),TRUE,FALSE)</formula>
    </cfRule>
  </conditionalFormatting>
  <conditionalFormatting sqref="B8">
    <cfRule type="expression" dxfId="55" priority="48">
      <formula>IF(AND(NOT(ISBLANK($I8)),NOW()&gt;$I8,OR($O8="On-going",$O8="New")),TRUE,FALSE)</formula>
    </cfRule>
  </conditionalFormatting>
  <conditionalFormatting sqref="A8">
    <cfRule type="expression" dxfId="54" priority="51">
      <formula>IF(AND(NOT(ISBLANK(#REF!)),NOW()&gt;#REF!,OR(#REF!="On-going",#REF!="New")),TRUE,FALSE)</formula>
    </cfRule>
  </conditionalFormatting>
  <conditionalFormatting sqref="L8:N8">
    <cfRule type="expression" dxfId="53" priority="47">
      <formula>IF(AND(NOT(ISBLANK($I8)),NOW()&gt;$I8,OR($O8="On-going",$O8="New")),TRUE,FALSE)</formula>
    </cfRule>
  </conditionalFormatting>
  <conditionalFormatting sqref="G12:G14 G16">
    <cfRule type="expression" dxfId="52" priority="46">
      <formula>IF(AND(NOT(ISBLANK($I12)),NOW()&gt;$I12,OR($O12="On-going",$O12="New")),TRUE,FALSE)</formula>
    </cfRule>
  </conditionalFormatting>
  <conditionalFormatting sqref="G15">
    <cfRule type="expression" dxfId="51" priority="45">
      <formula>IF(AND(NOT(ISBLANK($I15)),NOW()&gt;$I15,OR($O15="On-going",$O15="New")),TRUE,FALSE)</formula>
    </cfRule>
  </conditionalFormatting>
  <conditionalFormatting sqref="G22">
    <cfRule type="expression" dxfId="50" priority="44">
      <formula>IF(AND(NOT(ISBLANK($I22)),NOW()&gt;$I22,OR($O22="On-going",$O22="New")),TRUE,FALSE)</formula>
    </cfRule>
  </conditionalFormatting>
  <conditionalFormatting sqref="H14:I14">
    <cfRule type="expression" dxfId="49" priority="20">
      <formula>IF(AND(NOT(ISBLANK($I14)),NOW()&gt;$I14,OR($O14="On-going",$O14="New")),TRUE,FALSE)</formula>
    </cfRule>
  </conditionalFormatting>
  <conditionalFormatting sqref="L18:N18">
    <cfRule type="expression" dxfId="48" priority="34">
      <formula>IF(AND(NOT(ISBLANK($I18)),NOW()&gt;$I18,OR($O18="On-going",$O18="New")),TRUE,FALSE)</formula>
    </cfRule>
  </conditionalFormatting>
  <conditionalFormatting sqref="B18">
    <cfRule type="expression" dxfId="47" priority="35">
      <formula>IF(AND(NOT(ISBLANK($I18)),NOW()&gt;$I18,OR($O18="On-going",$O18="New")),TRUE,FALSE)</formula>
    </cfRule>
  </conditionalFormatting>
  <conditionalFormatting sqref="H21">
    <cfRule type="expression" dxfId="45" priority="8">
      <formula>IF(AND(NOT(ISBLANK($I21)),NOW()&gt;$I21,OR($O21="On-going",$O21="New")),TRUE,FALSE)</formula>
    </cfRule>
  </conditionalFormatting>
  <conditionalFormatting sqref="C18:D18 J18:K18 O18:U18">
    <cfRule type="expression" dxfId="44" priority="37">
      <formula>IF(AND(NOT(ISBLANK($I18)),NOW()&gt;$I18,OR($O18="On-going",$O18="New")),TRUE,FALSE)</formula>
    </cfRule>
  </conditionalFormatting>
  <conditionalFormatting sqref="E18">
    <cfRule type="expression" dxfId="43" priority="36">
      <formula>IF(AND(NOT(ISBLANK($I18)),NOW()&gt;$I18,OR($O18="On-going",$O18="New")),TRUE,FALSE)</formula>
    </cfRule>
  </conditionalFormatting>
  <conditionalFormatting sqref="A18">
    <cfRule type="expression" dxfId="41" priority="38">
      <formula>IF(AND(NOT(ISBLANK(#REF!)),NOW()&gt;#REF!,OR(#REF!="On-going",#REF!="New")),TRUE,FALSE)</formula>
    </cfRule>
  </conditionalFormatting>
  <conditionalFormatting sqref="F18">
    <cfRule type="expression" dxfId="39" priority="33">
      <formula>IF(AND(NOT(ISBLANK(#REF!)),NOW()&gt;#REF!,OR(#REF!="On-going",#REF!="New")),TRUE,FALSE)</formula>
    </cfRule>
  </conditionalFormatting>
  <conditionalFormatting sqref="I21">
    <cfRule type="expression" dxfId="38" priority="9">
      <formula>IF(AND(NOT(ISBLANK($I21)),NOW()&gt;$I21,OR($O21="On-going",$O21="New")),TRUE,FALSE)</formula>
    </cfRule>
  </conditionalFormatting>
  <conditionalFormatting sqref="H13:I13">
    <cfRule type="expression" dxfId="37" priority="21">
      <formula>IF(AND(NOT(ISBLANK($I13)),NOW()&gt;$I13,OR($O13="On-going",$O13="New")),TRUE,FALSE)</formula>
    </cfRule>
  </conditionalFormatting>
  <conditionalFormatting sqref="G17:G19">
    <cfRule type="expression" dxfId="34" priority="28">
      <formula>IF(AND(NOT(ISBLANK($I17)),NOW()&gt;$I17,OR($O17="On-going",$O17="New")),TRUE,FALSE)</formula>
    </cfRule>
  </conditionalFormatting>
  <conditionalFormatting sqref="G20">
    <cfRule type="expression" dxfId="33" priority="27">
      <formula>IF(AND(NOT(ISBLANK($I20)),NOW()&gt;$I20,OR($O20="On-going",$O20="New")),TRUE,FALSE)</formula>
    </cfRule>
  </conditionalFormatting>
  <conditionalFormatting sqref="H17">
    <cfRule type="expression" dxfId="32" priority="26">
      <formula>IF(AND(NOT(ISBLANK($I17)),NOW()&gt;$I17,OR($O17="On-going",$O17="New")),TRUE,FALSE)</formula>
    </cfRule>
  </conditionalFormatting>
  <conditionalFormatting sqref="I19">
    <cfRule type="expression" dxfId="31" priority="15">
      <formula>IF(AND(NOT(ISBLANK($I19)),NOW()&gt;$I19,OR($O19="On-going",$O19="New")),TRUE,FALSE)</formula>
    </cfRule>
  </conditionalFormatting>
  <conditionalFormatting sqref="H18">
    <cfRule type="expression" dxfId="28" priority="16">
      <formula>IF(AND(NOT(ISBLANK($I18)),NOW()&gt;$I18,OR($O18="On-going",$O18="New")),TRUE,FALSE)</formula>
    </cfRule>
  </conditionalFormatting>
  <conditionalFormatting sqref="H15:I15">
    <cfRule type="expression" dxfId="25" priority="19">
      <formula>IF(AND(NOT(ISBLANK($I15)),NOW()&gt;$I15,OR($O15="On-going",$O15="New")),TRUE,FALSE)</formula>
    </cfRule>
  </conditionalFormatting>
  <conditionalFormatting sqref="H16:I16">
    <cfRule type="expression" dxfId="24" priority="18">
      <formula>IF(AND(NOT(ISBLANK($I16)),NOW()&gt;$I16,OR($O16="On-going",$O16="New")),TRUE,FALSE)</formula>
    </cfRule>
  </conditionalFormatting>
  <conditionalFormatting sqref="I18">
    <cfRule type="expression" dxfId="23" priority="17">
      <formula>IF(AND(NOT(ISBLANK($I18)),NOW()&gt;$I18,OR($O18="On-going",$O18="New")),TRUE,FALSE)</formula>
    </cfRule>
  </conditionalFormatting>
  <conditionalFormatting sqref="H19">
    <cfRule type="expression" dxfId="20" priority="14">
      <formula>IF(AND(NOT(ISBLANK($I19)),NOW()&gt;$I19,OR($O19="On-going",$O19="New")),TRUE,FALSE)</formula>
    </cfRule>
  </conditionalFormatting>
  <conditionalFormatting sqref="G5:K5 O5:U5 C5:E5">
    <cfRule type="expression" dxfId="13" priority="5">
      <formula>IF(AND(NOT(ISBLANK($I5)),NOW()&gt;$I5,OR($O5="On-going",$O5="New")),TRUE,FALSE)</formula>
    </cfRule>
  </conditionalFormatting>
  <conditionalFormatting sqref="F5">
    <cfRule type="expression" dxfId="11" priority="6">
      <formula>IF(AND(NOT(ISBLANK(#REF!)),NOW()&gt;#REF!,OR(#REF!="On-going",#REF!="New")),TRUE,FALSE)</formula>
    </cfRule>
  </conditionalFormatting>
  <conditionalFormatting sqref="B5">
    <cfRule type="expression" dxfId="9" priority="4">
      <formula>IF(AND(NOT(ISBLANK($I5)),NOW()&gt;$I5,OR($O5="On-going",$O5="New")),TRUE,FALSE)</formula>
    </cfRule>
  </conditionalFormatting>
  <conditionalFormatting sqref="A5">
    <cfRule type="expression" dxfId="7" priority="7">
      <formula>IF(AND(NOT(ISBLANK(#REF!)),NOW()&gt;#REF!,OR(#REF!="On-going",#REF!="New")),TRUE,FALSE)</formula>
    </cfRule>
  </conditionalFormatting>
  <conditionalFormatting sqref="L5:N5">
    <cfRule type="expression" dxfId="5" priority="3">
      <formula>IF(AND(NOT(ISBLANK($I5)),NOW()&gt;$I5,OR($O5="On-going",$O5="New")),TRUE,FALSE)</formula>
    </cfRule>
  </conditionalFormatting>
  <conditionalFormatting sqref="G21">
    <cfRule type="expression" dxfId="3" priority="2">
      <formula>IF(AND(NOT(ISBLANK($I21)),NOW()&gt;$I21,OR($O21="On-going",$O21="New")),TRUE,FALSE)</formula>
    </cfRule>
  </conditionalFormatting>
  <conditionalFormatting sqref="H20:I20">
    <cfRule type="expression" dxfId="1" priority="1">
      <formula>IF(AND(NOT(ISBLANK($I20)),NOW()&gt;$I20,OR($O20="On-going",$O20="New")),TRUE,FALSE)</formula>
    </cfRule>
  </conditionalFormatting>
  <dataValidations count="3">
    <dataValidation type="list" allowBlank="1" showInputMessage="1" showErrorMessage="1" sqref="O3:O129">
      <formula1>"On-going, Reviewing, Reworking, Pending, Closed, Transferred, New, Cancel"</formula1>
    </dataValidation>
    <dataValidation type="list" allowBlank="1" showInputMessage="1" showErrorMessage="1" sqref="R4:R129">
      <formula1>"Very High,High,Medium,Low"</formula1>
    </dataValidation>
    <dataValidation type="list" allowBlank="1" showInputMessage="1" showErrorMessage="1" sqref="Q4:Q129">
      <formula1>"Complex,Medium,Easy"</formula1>
    </dataValidation>
  </dataValidations>
  <pageMargins left="0.7" right="0.7" top="0.75" bottom="0.75" header="0.3" footer="0.3"/>
  <pageSetup paperSize="9" orientation="portrait" r:id="rId23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Resource!$B$4:$B$31</xm:f>
          </x14:formula1>
          <xm:sqref>G130</xm:sqref>
        </x14:dataValidation>
        <x14:dataValidation type="list" allowBlank="1" showInputMessage="1" showErrorMessage="1">
          <x14:formula1>
            <xm:f>Resource!$B$2:$B$31</xm:f>
          </x14:formula1>
          <xm:sqref>G127:G129 G3:G125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9"/>
  <sheetViews>
    <sheetView workbookViewId="0">
      <selection activeCell="F27" sqref="F27"/>
    </sheetView>
  </sheetViews>
  <sheetFormatPr defaultRowHeight="15"/>
  <cols>
    <col min="1" max="1" width="2" bestFit="1" customWidth="1"/>
    <col min="2" max="2" width="10.85546875" bestFit="1" customWidth="1"/>
    <col min="3" max="3" width="17" bestFit="1" customWidth="1"/>
    <col min="4" max="4" width="9.7109375" bestFit="1" customWidth="1"/>
    <col min="12" max="12" width="9.140625" customWidth="1"/>
  </cols>
  <sheetData>
    <row r="1" spans="1:6">
      <c r="A1" s="46" t="s">
        <v>10</v>
      </c>
      <c r="B1" s="46" t="s">
        <v>22</v>
      </c>
      <c r="C1" s="46" t="s">
        <v>8</v>
      </c>
      <c r="D1" s="46" t="s">
        <v>23</v>
      </c>
      <c r="E1" s="46" t="s">
        <v>24</v>
      </c>
      <c r="F1" s="46" t="s">
        <v>15</v>
      </c>
    </row>
    <row r="2" spans="1:6">
      <c r="A2" s="1">
        <v>1</v>
      </c>
      <c r="B2" s="1" t="s">
        <v>28</v>
      </c>
      <c r="C2" s="1"/>
      <c r="D2" s="44">
        <v>42823</v>
      </c>
      <c r="E2" s="42">
        <v>42839</v>
      </c>
      <c r="F2" s="1">
        <f ca="1">NETWORKDAYS(D2,IF(ISBLANK(E2),TODAY(),E2),Holidays!$A$2:$A$17)</f>
        <v>12</v>
      </c>
    </row>
    <row r="3" spans="1:6">
      <c r="A3" s="1">
        <v>2</v>
      </c>
      <c r="B3" s="1" t="s">
        <v>29</v>
      </c>
      <c r="C3" s="1"/>
      <c r="D3" s="44">
        <v>42835</v>
      </c>
      <c r="E3" s="42">
        <v>42860</v>
      </c>
      <c r="F3" s="1">
        <f ca="1">NETWORKDAYS(D3,IF(ISBLANK(E3),TODAY(),E3),Holidays!$A$2:$A$17)</f>
        <v>18</v>
      </c>
    </row>
    <row r="4" spans="1:6">
      <c r="A4" s="1">
        <v>3</v>
      </c>
      <c r="B4" s="1" t="s">
        <v>30</v>
      </c>
      <c r="C4" s="1"/>
      <c r="D4" s="44">
        <v>42856</v>
      </c>
      <c r="E4" s="42">
        <v>42895</v>
      </c>
      <c r="F4" s="1">
        <f ca="1">NETWORKDAYS(D4,IF(ISBLANK(E4),TODAY(),E4),Holidays!$A$2:$A$17)</f>
        <v>27</v>
      </c>
    </row>
    <row r="5" spans="1:6">
      <c r="A5" s="1">
        <v>4</v>
      </c>
      <c r="B5" s="1" t="s">
        <v>26</v>
      </c>
      <c r="C5" s="1"/>
      <c r="D5" s="44">
        <v>42898</v>
      </c>
      <c r="E5" s="42">
        <v>42916</v>
      </c>
      <c r="F5" s="1">
        <f ca="1">NETWORKDAYS(D5,IF(ISBLANK(E5),TODAY(),E5),Holidays!$A$2:$A$17)</f>
        <v>15</v>
      </c>
    </row>
    <row r="6" spans="1:6">
      <c r="A6" s="1"/>
      <c r="B6" s="1"/>
      <c r="C6" s="1"/>
      <c r="D6" s="45"/>
      <c r="E6" s="43"/>
      <c r="F6" s="1"/>
    </row>
    <row r="7" spans="1:6">
      <c r="A7" s="1"/>
      <c r="B7" s="1"/>
      <c r="C7" s="1"/>
      <c r="D7" s="45"/>
      <c r="E7" s="43"/>
      <c r="F7" s="1"/>
    </row>
    <row r="8" spans="1:6">
      <c r="A8" s="1"/>
      <c r="B8" s="1"/>
      <c r="C8" s="1"/>
      <c r="D8" s="45"/>
      <c r="E8" s="43"/>
      <c r="F8" s="1"/>
    </row>
    <row r="9" spans="1:6">
      <c r="A9" s="1"/>
      <c r="B9" s="1"/>
      <c r="C9" s="1"/>
      <c r="D9" s="45"/>
      <c r="E9" s="43"/>
      <c r="F9" s="1"/>
    </row>
    <row r="10" spans="1:6">
      <c r="A10" s="1"/>
      <c r="B10" s="1"/>
      <c r="C10" s="1"/>
      <c r="D10" s="45"/>
      <c r="E10" s="43"/>
      <c r="F10" s="1"/>
    </row>
    <row r="11" spans="1:6">
      <c r="A11" s="1"/>
      <c r="B11" s="1"/>
      <c r="C11" s="1"/>
      <c r="D11" s="45"/>
      <c r="E11" s="43"/>
      <c r="F11" s="1"/>
    </row>
    <row r="12" spans="1:6">
      <c r="A12" s="1"/>
      <c r="B12" s="1"/>
      <c r="C12" s="1"/>
      <c r="D12" s="45"/>
      <c r="E12" s="43"/>
      <c r="F12" s="1"/>
    </row>
    <row r="13" spans="1:6">
      <c r="A13" s="1"/>
      <c r="B13" s="1"/>
      <c r="C13" s="1"/>
      <c r="D13" s="45"/>
      <c r="E13" s="43"/>
      <c r="F13" s="1"/>
    </row>
    <row r="14" spans="1:6">
      <c r="A14" s="1"/>
      <c r="B14" s="1"/>
      <c r="C14" s="1"/>
      <c r="D14" s="45"/>
      <c r="E14" s="43"/>
      <c r="F14" s="1"/>
    </row>
    <row r="15" spans="1:6">
      <c r="A15" s="1"/>
      <c r="B15" s="1"/>
      <c r="C15" s="1"/>
      <c r="D15" s="45"/>
      <c r="E15" s="43"/>
      <c r="F15" s="1"/>
    </row>
    <row r="16" spans="1:6">
      <c r="A16" s="1"/>
      <c r="B16" s="1"/>
      <c r="C16" s="1"/>
      <c r="D16" s="45"/>
      <c r="E16" s="43"/>
      <c r="F16" s="1"/>
    </row>
    <row r="17" spans="1:6">
      <c r="A17" s="1"/>
      <c r="B17" s="1"/>
      <c r="C17" s="1"/>
      <c r="D17" s="45"/>
      <c r="E17" s="43"/>
      <c r="F17" s="1"/>
    </row>
    <row r="18" spans="1:6">
      <c r="A18" s="1"/>
      <c r="B18" s="1"/>
      <c r="C18" s="1"/>
      <c r="D18" s="45"/>
      <c r="E18" s="43"/>
      <c r="F18" s="1"/>
    </row>
    <row r="19" spans="1:6">
      <c r="A19" s="1"/>
      <c r="B19" s="1"/>
      <c r="C19" s="1"/>
      <c r="D19" s="45"/>
      <c r="E19" s="43"/>
      <c r="F19" s="1"/>
    </row>
  </sheetData>
  <customSheetViews>
    <customSheetView guid="{EF4C86B4-137F-4865-AAA8-DFA18E73126C}" state="hidden">
      <selection activeCell="D5" sqref="D5"/>
      <pageMargins left="0.7" right="0.7" top="0.75" bottom="0.75" header="0.3" footer="0.3"/>
      <pageSetup orientation="portrait" r:id="rId1"/>
    </customSheetView>
    <customSheetView guid="{C04FD524-FA0C-4C41-A249-FB149D6DB51F}" state="hidden">
      <selection activeCell="D5" sqref="D5"/>
      <pageMargins left="0.7" right="0.7" top="0.75" bottom="0.75" header="0.3" footer="0.3"/>
      <pageSetup orientation="portrait" r:id="rId2"/>
    </customSheetView>
    <customSheetView guid="{496B1B49-F920-48C1-B26E-9A1F4E6E5157}" state="hidden">
      <selection activeCell="D5" sqref="D5"/>
      <pageMargins left="0.7" right="0.7" top="0.75" bottom="0.75" header="0.3" footer="0.3"/>
      <pageSetup orientation="portrait" r:id="rId3"/>
    </customSheetView>
    <customSheetView guid="{28579E25-F775-48E1-98C2-206BE5E524FE}" state="hidden">
      <selection activeCell="D5" sqref="D5"/>
      <pageMargins left="0.7" right="0.7" top="0.75" bottom="0.75" header="0.3" footer="0.3"/>
      <pageSetup orientation="portrait" r:id="rId4"/>
    </customSheetView>
    <customSheetView guid="{5DC62200-E966-42EC-876C-0B719896BF62}" state="hidden">
      <selection activeCell="D5" sqref="D5"/>
      <pageMargins left="0.7" right="0.7" top="0.75" bottom="0.75" header="0.3" footer="0.3"/>
      <pageSetup orientation="portrait" r:id="rId5"/>
    </customSheetView>
    <customSheetView guid="{63BBB3C8-2BBD-47A9-8577-895E120CF491}" state="hidden">
      <selection activeCell="E34" sqref="E34"/>
      <pageMargins left="0.7" right="0.7" top="0.75" bottom="0.75" header="0.3" footer="0.3"/>
      <pageSetup orientation="portrait" r:id="rId6"/>
    </customSheetView>
    <customSheetView guid="{C55B95B2-4161-4E6D-8703-1A83FF9F95D4}" state="hidden">
      <selection activeCell="E34" sqref="E34"/>
      <pageMargins left="0.7" right="0.7" top="0.75" bottom="0.75" header="0.3" footer="0.3"/>
      <pageSetup orientation="portrait" r:id="rId7"/>
    </customSheetView>
    <customSheetView guid="{8C47ADE1-7CA3-4AB3-A749-547B18615B1D}" state="hidden">
      <selection activeCell="E34" sqref="E34"/>
      <pageMargins left="0.7" right="0.7" top="0.75" bottom="0.75" header="0.3" footer="0.3"/>
      <pageSetup orientation="portrait" r:id="rId8"/>
    </customSheetView>
    <customSheetView guid="{051D1CA9-AD3E-4268-8658-F8950473509F}" state="hidden">
      <selection activeCell="E34" sqref="E34"/>
      <pageMargins left="0.7" right="0.7" top="0.75" bottom="0.75" header="0.3" footer="0.3"/>
      <pageSetup orientation="portrait" r:id="rId9"/>
    </customSheetView>
    <customSheetView guid="{7AC9EE31-E3C8-43A5-8490-C2342F28991D}" state="hidden">
      <selection activeCell="E34" sqref="E34"/>
      <pageMargins left="0.7" right="0.7" top="0.75" bottom="0.75" header="0.3" footer="0.3"/>
      <pageSetup orientation="portrait" r:id="rId10"/>
    </customSheetView>
    <customSheetView guid="{44117B2C-C61F-437C-A9C5-65A80C2AE348}" state="hidden">
      <selection activeCell="E34" sqref="E34"/>
      <pageMargins left="0.7" right="0.7" top="0.75" bottom="0.75" header="0.3" footer="0.3"/>
      <pageSetup orientation="portrait" r:id="rId11"/>
    </customSheetView>
    <customSheetView guid="{A521652D-57C6-4292-A79A-663908B7FF11}" state="hidden">
      <selection activeCell="E34" sqref="E34"/>
      <pageMargins left="0.7" right="0.7" top="0.75" bottom="0.75" header="0.3" footer="0.3"/>
      <pageSetup orientation="portrait" r:id="rId12"/>
    </customSheetView>
    <customSheetView guid="{9B6049CB-74F7-4A4B-BDEE-129DA6BA93C7}" state="hidden">
      <selection activeCell="E34" sqref="E34"/>
      <pageMargins left="0.7" right="0.7" top="0.75" bottom="0.75" header="0.3" footer="0.3"/>
      <pageSetup orientation="portrait" r:id="rId13"/>
    </customSheetView>
    <customSheetView guid="{BA680C88-7FC3-49C3-AA14-74432754B497}" state="hidden">
      <selection activeCell="E34" sqref="E34"/>
      <pageMargins left="0.7" right="0.7" top="0.75" bottom="0.75" header="0.3" footer="0.3"/>
      <pageSetup orientation="portrait" r:id="rId14"/>
    </customSheetView>
    <customSheetView guid="{A0179960-2037-454D-BA81-E315A8E16A3A}" state="hidden">
      <selection activeCell="E34" sqref="E34"/>
      <pageMargins left="0.7" right="0.7" top="0.75" bottom="0.75" header="0.3" footer="0.3"/>
      <pageSetup orientation="portrait" r:id="rId15"/>
    </customSheetView>
    <customSheetView guid="{52646C22-009A-42DB-9645-9B1CCBC06272}" state="hidden">
      <selection activeCell="E34" sqref="E34"/>
      <pageMargins left="0.7" right="0.7" top="0.75" bottom="0.75" header="0.3" footer="0.3"/>
      <pageSetup orientation="portrait" r:id="rId16"/>
    </customSheetView>
    <customSheetView guid="{CBAA7D8B-D486-41DF-B6D0-D71293163E33}" state="hidden">
      <selection activeCell="E34" sqref="E34"/>
      <pageMargins left="0.7" right="0.7" top="0.75" bottom="0.75" header="0.3" footer="0.3"/>
      <pageSetup orientation="portrait" r:id="rId17"/>
    </customSheetView>
    <customSheetView guid="{7E427091-283A-453B-94EB-2B448709C24B}" state="hidden">
      <selection activeCell="E34" sqref="E34"/>
      <pageMargins left="0.7" right="0.7" top="0.75" bottom="0.75" header="0.3" footer="0.3"/>
      <pageSetup orientation="portrait" r:id="rId18"/>
    </customSheetView>
    <customSheetView guid="{3D68303D-5E50-44AA-9745-976E940C48C6}" state="hidden">
      <selection activeCell="D5" sqref="D5"/>
      <pageMargins left="0.7" right="0.7" top="0.75" bottom="0.75" header="0.3" footer="0.3"/>
      <pageSetup orientation="portrait" r:id="rId19"/>
    </customSheetView>
    <customSheetView guid="{9099418D-E49E-4572-BCBA-F1DE53B5DFAB}" state="hidden">
      <selection activeCell="D5" sqref="D5"/>
      <pageMargins left="0.7" right="0.7" top="0.75" bottom="0.75" header="0.3" footer="0.3"/>
      <pageSetup orientation="portrait" r:id="rId20"/>
    </customSheetView>
    <customSheetView guid="{6ABFDB73-A4FC-493C-A504-1276E731333B}" state="hidden">
      <selection activeCell="D5" sqref="D5"/>
      <pageMargins left="0.7" right="0.7" top="0.75" bottom="0.75" header="0.3" footer="0.3"/>
      <pageSetup orientation="portrait" r:id="rId21"/>
    </customSheetView>
  </customSheetViews>
  <phoneticPr fontId="8"/>
  <pageMargins left="0.7" right="0.7" top="0.75" bottom="0.75" header="0.3" footer="0.3"/>
  <pageSetup orientation="portrait"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1"/>
  <sheetViews>
    <sheetView workbookViewId="0">
      <selection activeCell="B9" sqref="B9"/>
    </sheetView>
  </sheetViews>
  <sheetFormatPr defaultRowHeight="15"/>
  <cols>
    <col min="1" max="1" width="3.5703125" bestFit="1" customWidth="1"/>
  </cols>
  <sheetData>
    <row r="1" spans="1:4">
      <c r="A1" s="1" t="s">
        <v>18</v>
      </c>
      <c r="B1" s="1" t="s">
        <v>1</v>
      </c>
      <c r="C1" s="1" t="s">
        <v>19</v>
      </c>
      <c r="D1" s="1" t="s">
        <v>15</v>
      </c>
    </row>
    <row r="2" spans="1:4">
      <c r="A2" s="1">
        <v>1</v>
      </c>
      <c r="B2" s="37" t="s">
        <v>32</v>
      </c>
      <c r="C2" s="1">
        <f>COUNTIF('Daily Track'!$G$3:$G$130,Resource!B2)</f>
        <v>2</v>
      </c>
      <c r="D2" s="1">
        <f>SUMIF('Daily Track'!$G$3:$G$130,Resource!B2,'Daily Track'!$J$3:$J$130)</f>
        <v>40</v>
      </c>
    </row>
    <row r="3" spans="1:4">
      <c r="A3" s="1">
        <v>2</v>
      </c>
      <c r="B3" s="37" t="s">
        <v>291</v>
      </c>
      <c r="C3" s="1">
        <f>COUNTIF('Daily Track'!$G$3:$G$130,Resource!B3)</f>
        <v>0</v>
      </c>
      <c r="D3" s="1">
        <f>SUMIF('Daily Track'!$G$3:$G$130,Resource!B3,'Daily Track'!$J$3:$J$130)</f>
        <v>0</v>
      </c>
    </row>
    <row r="4" spans="1:4">
      <c r="A4" s="1">
        <v>3</v>
      </c>
      <c r="B4" s="1" t="s">
        <v>292</v>
      </c>
      <c r="C4" s="1">
        <f>COUNTIF('Daily Track'!$G$3:$G$130,Resource!B4)</f>
        <v>4</v>
      </c>
      <c r="D4" s="1">
        <f>SUMIF('Daily Track'!$G$3:$G$130,Resource!B4,'Daily Track'!$J$3:$J$130)</f>
        <v>80</v>
      </c>
    </row>
    <row r="5" spans="1:4">
      <c r="A5" s="1">
        <v>4</v>
      </c>
      <c r="B5" s="1" t="s">
        <v>293</v>
      </c>
      <c r="C5" s="1">
        <f>COUNTIF('Daily Track'!$G$3:$G$130,Resource!B5)</f>
        <v>3</v>
      </c>
      <c r="D5" s="1">
        <f>SUMIF('Daily Track'!$G$3:$G$130,Resource!B5,'Daily Track'!$J$3:$J$130)</f>
        <v>48</v>
      </c>
    </row>
    <row r="6" spans="1:4">
      <c r="A6" s="1">
        <v>5</v>
      </c>
      <c r="B6" s="1" t="s">
        <v>294</v>
      </c>
      <c r="C6" s="1">
        <f>COUNTIF('Daily Track'!$G$3:$G$130,Resource!B6)</f>
        <v>3</v>
      </c>
      <c r="D6" s="1">
        <f>SUMIF('Daily Track'!$G$3:$G$130,Resource!B6,'Daily Track'!$J$3:$J$130)</f>
        <v>48</v>
      </c>
    </row>
    <row r="7" spans="1:4">
      <c r="A7" s="1">
        <v>6</v>
      </c>
      <c r="B7" s="1" t="s">
        <v>295</v>
      </c>
      <c r="C7" s="1">
        <f>COUNTIF('Daily Track'!$G$3:$G$130,Resource!B7)</f>
        <v>2</v>
      </c>
      <c r="D7" s="1">
        <f>SUMIF('Daily Track'!$G$3:$G$130,Resource!B7,'Daily Track'!$J$3:$J$130)</f>
        <v>32</v>
      </c>
    </row>
    <row r="8" spans="1:4">
      <c r="A8" s="1">
        <v>7</v>
      </c>
      <c r="B8" s="1" t="s">
        <v>296</v>
      </c>
      <c r="C8" s="1">
        <f>COUNTIF('Daily Track'!$G$3:$G$130,Resource!B8)</f>
        <v>3</v>
      </c>
      <c r="D8" s="1">
        <f>SUMIF('Daily Track'!$G$3:$G$130,Resource!B8,'Daily Track'!$J$3:$J$130)</f>
        <v>48</v>
      </c>
    </row>
    <row r="9" spans="1:4">
      <c r="A9" s="1">
        <v>8</v>
      </c>
      <c r="B9" s="1" t="s">
        <v>321</v>
      </c>
      <c r="C9" s="1">
        <f>COUNTIF('Daily Track'!$G$3:$G$130,Resource!B9)</f>
        <v>2</v>
      </c>
      <c r="D9" s="1">
        <f>SUMIF('Daily Track'!$G$3:$G$130,Resource!B9,'Daily Track'!$J$3:$J$130)</f>
        <v>32</v>
      </c>
    </row>
    <row r="10" spans="1:4">
      <c r="A10" s="1">
        <v>9</v>
      </c>
      <c r="B10" s="1" t="s">
        <v>303</v>
      </c>
      <c r="C10" s="1">
        <f>COUNTIF('Daily Track'!$G$3:$G$130,Resource!B10)</f>
        <v>2</v>
      </c>
      <c r="D10" s="1">
        <f>SUMIF('Daily Track'!$G$3:$G$130,Resource!B10,'Daily Track'!$J$3:$J$130)</f>
        <v>10</v>
      </c>
    </row>
    <row r="11" spans="1:4">
      <c r="A11" s="1">
        <v>10</v>
      </c>
      <c r="B11" s="1"/>
      <c r="C11" s="1">
        <f>COUNTIF('Daily Track'!$G$3:$G$130,Resource!B11)</f>
        <v>0</v>
      </c>
      <c r="D11" s="1">
        <f>SUMIF('Daily Track'!$G$3:$G$130,Resource!B11,'Daily Track'!$J$3:$J$130)</f>
        <v>0</v>
      </c>
    </row>
    <row r="12" spans="1:4">
      <c r="A12" s="1">
        <v>11</v>
      </c>
      <c r="B12" s="1"/>
      <c r="C12" s="1">
        <f>COUNTIF('Daily Track'!$G$3:$G$130,Resource!B12)</f>
        <v>0</v>
      </c>
      <c r="D12" s="1">
        <f>SUMIF('Daily Track'!$G$3:$G$130,Resource!B12,'Daily Track'!$J$3:$J$130)</f>
        <v>0</v>
      </c>
    </row>
    <row r="13" spans="1:4">
      <c r="A13" s="1">
        <v>12</v>
      </c>
      <c r="B13" s="1"/>
      <c r="C13" s="1">
        <f>COUNTIF('Daily Track'!$G$3:$G$130,Resource!B13)</f>
        <v>0</v>
      </c>
      <c r="D13" s="1">
        <f>SUMIF('Daily Track'!$G$3:$G$130,Resource!B13,'Daily Track'!$J$3:$J$130)</f>
        <v>0</v>
      </c>
    </row>
    <row r="14" spans="1:4">
      <c r="A14" s="1">
        <v>13</v>
      </c>
      <c r="B14" s="1"/>
      <c r="C14" s="1">
        <f>COUNTIF('Daily Track'!$G$3:$G$130,Resource!B14)</f>
        <v>0</v>
      </c>
      <c r="D14" s="1">
        <f>SUMIF('Daily Track'!$G$3:$G$130,Resource!B14,'Daily Track'!$J$3:$J$130)</f>
        <v>0</v>
      </c>
    </row>
    <row r="15" spans="1:4">
      <c r="A15" s="1">
        <v>14</v>
      </c>
      <c r="B15" s="1"/>
      <c r="C15" s="1">
        <f>COUNTIF('Daily Track'!$G$3:$G$130,Resource!B15)</f>
        <v>0</v>
      </c>
      <c r="D15" s="1">
        <f>SUMIF('Daily Track'!$G$3:$G$130,Resource!B15,'Daily Track'!$J$3:$J$130)</f>
        <v>0</v>
      </c>
    </row>
    <row r="16" spans="1:4">
      <c r="A16" s="1">
        <v>15</v>
      </c>
      <c r="B16" s="1"/>
      <c r="C16" s="1">
        <f>COUNTIF('Daily Track'!$G$3:$G$130,Resource!B16)</f>
        <v>0</v>
      </c>
      <c r="D16" s="1">
        <f>SUMIF('Daily Track'!$G$3:$G$130,Resource!B16,'Daily Track'!$J$3:$J$130)</f>
        <v>0</v>
      </c>
    </row>
    <row r="17" spans="1:4">
      <c r="A17" s="1">
        <v>16</v>
      </c>
      <c r="B17" s="37"/>
      <c r="C17" s="1">
        <f>COUNTIF('Daily Track'!$G$3:$G$130,Resource!B17)</f>
        <v>0</v>
      </c>
      <c r="D17" s="1">
        <f>SUMIF('Daily Track'!$G$3:$G$130,Resource!B17,'Daily Track'!$J$3:$J$130)</f>
        <v>0</v>
      </c>
    </row>
    <row r="18" spans="1:4">
      <c r="A18" s="1">
        <v>17</v>
      </c>
      <c r="B18" s="37"/>
      <c r="C18" s="1">
        <f>COUNTIF('Daily Track'!$G$3:$G$130,Resource!B18)</f>
        <v>0</v>
      </c>
      <c r="D18" s="1">
        <f>SUMIF('Daily Track'!$G$3:$G$130,Resource!B18,'Daily Track'!$J$3:$J$130)</f>
        <v>0</v>
      </c>
    </row>
    <row r="19" spans="1:4">
      <c r="A19" s="1">
        <v>18</v>
      </c>
      <c r="B19" s="37"/>
      <c r="C19" s="1">
        <f>COUNTIF('Daily Track'!$G$3:$G$130,Resource!B19)</f>
        <v>0</v>
      </c>
      <c r="D19" s="1">
        <f>SUMIF('Daily Track'!$G$3:$G$130,Resource!B19,'Daily Track'!$J$3:$J$130)</f>
        <v>0</v>
      </c>
    </row>
    <row r="20" spans="1:4">
      <c r="A20" s="1">
        <v>19</v>
      </c>
      <c r="B20" s="37"/>
      <c r="C20" s="1">
        <f>COUNTIF('Daily Track'!$G$3:$G$130,Resource!B20)</f>
        <v>0</v>
      </c>
      <c r="D20" s="1">
        <f>SUMIF('Daily Track'!$G$3:$G$130,Resource!B20,'Daily Track'!$J$3:$J$130)</f>
        <v>0</v>
      </c>
    </row>
    <row r="21" spans="1:4">
      <c r="A21" s="1">
        <v>20</v>
      </c>
      <c r="B21" s="37"/>
      <c r="C21" s="1">
        <f>COUNTIF('Daily Track'!$G$3:$G$130,Resource!B21)</f>
        <v>0</v>
      </c>
      <c r="D21" s="1">
        <f>SUMIF('Daily Track'!$G$3:$G$130,Resource!B21,'Daily Track'!$J$3:$J$130)</f>
        <v>0</v>
      </c>
    </row>
    <row r="22" spans="1:4">
      <c r="A22" s="1">
        <v>21</v>
      </c>
      <c r="B22" s="37"/>
      <c r="C22" s="1">
        <f>COUNTIF('Daily Track'!$G$3:$G$130,Resource!B22)</f>
        <v>0</v>
      </c>
      <c r="D22" s="1">
        <f>SUMIF('Daily Track'!$G$3:$G$130,Resource!B22,'Daily Track'!$J$3:$J$130)</f>
        <v>0</v>
      </c>
    </row>
    <row r="23" spans="1:4">
      <c r="A23" s="1">
        <v>22</v>
      </c>
      <c r="B23" s="37"/>
      <c r="C23" s="1">
        <f>COUNTIF('Daily Track'!$G$3:$G$130,Resource!B23)</f>
        <v>0</v>
      </c>
      <c r="D23" s="1">
        <f>SUMIF('Daily Track'!$G$3:$G$130,Resource!B23,'Daily Track'!$J$3:$J$130)</f>
        <v>0</v>
      </c>
    </row>
    <row r="24" spans="1:4">
      <c r="A24" s="1">
        <v>23</v>
      </c>
      <c r="B24" s="37"/>
      <c r="C24" s="1">
        <f>COUNTIF('Daily Track'!$G$3:$G$130,Resource!B24)</f>
        <v>0</v>
      </c>
      <c r="D24" s="1">
        <f>SUMIF('Daily Track'!$G$3:$G$130,Resource!B24,'Daily Track'!$J$3:$J$130)</f>
        <v>0</v>
      </c>
    </row>
    <row r="25" spans="1:4">
      <c r="A25" s="1">
        <v>24</v>
      </c>
      <c r="B25" s="37"/>
      <c r="C25" s="1">
        <f>COUNTIF('Daily Track'!$G$3:$G$130,Resource!B25)</f>
        <v>0</v>
      </c>
      <c r="D25" s="1">
        <f>SUMIF('Daily Track'!$G$3:$G$130,Resource!B25,'Daily Track'!$J$3:$J$130)</f>
        <v>0</v>
      </c>
    </row>
    <row r="26" spans="1:4">
      <c r="A26" s="1">
        <v>25</v>
      </c>
      <c r="B26" s="37"/>
      <c r="C26" s="1">
        <f>COUNTIF('Daily Track'!$G$3:$G$130,Resource!B26)</f>
        <v>0</v>
      </c>
      <c r="D26" s="1">
        <f>SUMIF('Daily Track'!$G$3:$G$130,Resource!B26,'Daily Track'!$J$3:$J$130)</f>
        <v>0</v>
      </c>
    </row>
    <row r="27" spans="1:4">
      <c r="A27" s="1">
        <v>26</v>
      </c>
      <c r="B27" s="37"/>
      <c r="C27" s="1">
        <f>COUNTIF('Daily Track'!$G$3:$G$130,Resource!B27)</f>
        <v>0</v>
      </c>
      <c r="D27" s="1">
        <f>SUMIF('Daily Track'!$G$3:$G$130,Resource!B27,'Daily Track'!$J$3:$J$130)</f>
        <v>0</v>
      </c>
    </row>
    <row r="28" spans="1:4">
      <c r="A28" s="1">
        <v>29</v>
      </c>
      <c r="B28" s="37"/>
      <c r="C28" s="1">
        <f>COUNTIF('Daily Track'!$G$3:$G$130,Resource!B28)</f>
        <v>0</v>
      </c>
      <c r="D28" s="1">
        <f>SUMIF('Daily Track'!$G$3:$G$130,Resource!B28,'Daily Track'!$J$3:$J$130)</f>
        <v>0</v>
      </c>
    </row>
    <row r="29" spans="1:4">
      <c r="A29" s="1">
        <v>30</v>
      </c>
      <c r="B29" s="37"/>
      <c r="C29" s="1">
        <f>COUNTIF('Daily Track'!$G$3:$G$130,Resource!B29)</f>
        <v>0</v>
      </c>
      <c r="D29" s="1">
        <f>SUMIF('Daily Track'!$G$3:$G$130,Resource!B29,'Daily Track'!$J$3:$J$130)</f>
        <v>0</v>
      </c>
    </row>
    <row r="30" spans="1:4">
      <c r="A30" s="1">
        <v>31</v>
      </c>
      <c r="B30" s="37"/>
      <c r="C30" s="1">
        <f>COUNTIF('Daily Track'!$G$3:$G$130,Resource!B30)</f>
        <v>0</v>
      </c>
      <c r="D30" s="1">
        <f>SUMIF('Daily Track'!$G$3:$G$130,Resource!B30,'Daily Track'!$J$3:$J$130)</f>
        <v>0</v>
      </c>
    </row>
    <row r="31" spans="1:4">
      <c r="A31" s="1">
        <v>32</v>
      </c>
      <c r="B31" s="37"/>
      <c r="C31" s="1">
        <f>COUNTIF('Daily Track'!$G$3:$G$130,Resource!B31)</f>
        <v>0</v>
      </c>
      <c r="D31" s="1">
        <f>SUMIF('Daily Track'!$G$3:$G$130,Resource!B31,'Daily Track'!$J$3:$J$130)</f>
        <v>0</v>
      </c>
    </row>
  </sheetData>
  <customSheetViews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4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6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7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8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9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2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13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17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18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8"/>
  <pageMargins left="0.7" right="0.7" top="0.75" bottom="0.75" header="0.3" footer="0.3"/>
  <pageSetup paperSize="9" orientation="portrait" r:id="rId2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F13" sqref="F13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2</v>
      </c>
      <c r="B1" s="2" t="s">
        <v>3</v>
      </c>
    </row>
    <row r="2" spans="1:2">
      <c r="A2" s="3">
        <v>42831</v>
      </c>
      <c r="B2" s="4" t="s">
        <v>4</v>
      </c>
    </row>
    <row r="3" spans="1:2">
      <c r="A3" s="3">
        <v>42856</v>
      </c>
      <c r="B3" s="79" t="s">
        <v>6</v>
      </c>
    </row>
    <row r="4" spans="1:2">
      <c r="A4" s="3">
        <v>42857</v>
      </c>
      <c r="B4" s="79" t="s">
        <v>5</v>
      </c>
    </row>
    <row r="5" spans="1:2">
      <c r="A5" s="3">
        <v>42874</v>
      </c>
      <c r="B5" s="10" t="s">
        <v>12</v>
      </c>
    </row>
    <row r="6" spans="1:2">
      <c r="A6" s="3">
        <v>42875</v>
      </c>
      <c r="B6" s="5" t="s">
        <v>12</v>
      </c>
    </row>
    <row r="7" spans="1:2">
      <c r="A7" s="3">
        <v>42876</v>
      </c>
      <c r="B7" s="5" t="s">
        <v>12</v>
      </c>
    </row>
    <row r="8" spans="1:2">
      <c r="A8" s="3">
        <v>42980</v>
      </c>
      <c r="B8" s="4" t="s">
        <v>7</v>
      </c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EF4C86B4-137F-4865-AAA8-DFA18E73126C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6ABFDB73-A4FC-493C-A504-1276E731333B}" state="hidden">
      <selection activeCell="B20" sqref="B20"/>
      <pageMargins left="0.7" right="0.7" top="0.75" bottom="0.75" header="0.3" footer="0.3"/>
    </customSheetView>
  </customSheetViews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Chart</vt:lpstr>
      <vt:lpstr>Daily Track</vt:lpstr>
      <vt:lpstr>Milestones</vt:lpstr>
      <vt:lpstr>Resource</vt:lpstr>
      <vt:lpstr>Holidays</vt:lpstr>
      <vt:lpstr>Resource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myqv</cp:lastModifiedBy>
  <dcterms:created xsi:type="dcterms:W3CDTF">2011-01-17T13:39:46Z</dcterms:created>
  <dcterms:modified xsi:type="dcterms:W3CDTF">2018-01-23T08:33:25Z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</Properties>
</file>